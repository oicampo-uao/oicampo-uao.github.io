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8E13DC9-5344-49DB-B3C4-4744D4E6F5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RMP" sheetId="1" r:id="rId1"/>
    <sheet name="01_PHA" sheetId="2" r:id="rId2"/>
    <sheet name="02_dFMEA" sheetId="3" r:id="rId3"/>
    <sheet name="03_uFMEA" sheetId="4" r:id="rId4"/>
    <sheet name="04_Risk_Eval" sheetId="5" r:id="rId5"/>
    <sheet name="05_Risk_Control" sheetId="6" r:id="rId6"/>
    <sheet name="06_Overall_RR" sheetId="7" r:id="rId7"/>
    <sheet name="07_RMR" sheetId="8" r:id="rId8"/>
    <sheet name="08_PostProd" sheetId="9" r:id="rId9"/>
    <sheet name="Dashboard" sheetId="10" r:id="rId10"/>
  </sheets>
  <definedNames>
    <definedName name="MatrizAceptabilidad">'00_RMP'!$C$31:$G$35</definedName>
    <definedName name="NivelesP">'00_RMP'!$B$31:$B$35</definedName>
    <definedName name="NivelesS">'00_RMP'!$C$30:$G$30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0" l="1"/>
  <c r="B4" i="10"/>
  <c r="C4" i="7"/>
  <c r="B4" i="7"/>
  <c r="C15" i="6"/>
  <c r="C14" i="6"/>
  <c r="C13" i="6"/>
  <c r="C12" i="6"/>
  <c r="C11" i="6"/>
  <c r="C10" i="6"/>
  <c r="C9" i="6"/>
  <c r="C8" i="6"/>
  <c r="C7" i="6"/>
  <c r="C6" i="6"/>
  <c r="C5" i="6"/>
  <c r="C4" i="6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P10" i="4"/>
  <c r="Q10" i="4" s="1"/>
  <c r="J10" i="4"/>
  <c r="K10" i="4" s="1"/>
  <c r="P9" i="4"/>
  <c r="Q9" i="4" s="1"/>
  <c r="J9" i="4"/>
  <c r="K9" i="4" s="1"/>
  <c r="P8" i="4"/>
  <c r="Q8" i="4" s="1"/>
  <c r="J8" i="4"/>
  <c r="K8" i="4" s="1"/>
  <c r="P7" i="4"/>
  <c r="Q7" i="4" s="1"/>
  <c r="J7" i="4"/>
  <c r="K7" i="4" s="1"/>
  <c r="P6" i="4"/>
  <c r="Q6" i="4" s="1"/>
  <c r="J6" i="4"/>
  <c r="K6" i="4" s="1"/>
  <c r="P5" i="4"/>
  <c r="Q5" i="4" s="1"/>
  <c r="J5" i="4"/>
  <c r="K5" i="4" s="1"/>
  <c r="P4" i="4"/>
  <c r="Q4" i="4" s="1"/>
  <c r="J4" i="4"/>
  <c r="K4" i="4" s="1"/>
  <c r="Q13" i="3"/>
  <c r="R13" i="3" s="1"/>
  <c r="K13" i="3"/>
  <c r="L13" i="3" s="1"/>
  <c r="Q12" i="3"/>
  <c r="R12" i="3" s="1"/>
  <c r="K12" i="3"/>
  <c r="L12" i="3" s="1"/>
  <c r="Q11" i="3"/>
  <c r="R11" i="3" s="1"/>
  <c r="K11" i="3"/>
  <c r="L11" i="3" s="1"/>
  <c r="Q10" i="3"/>
  <c r="R10" i="3" s="1"/>
  <c r="K10" i="3"/>
  <c r="L10" i="3" s="1"/>
  <c r="Q9" i="3"/>
  <c r="R9" i="3" s="1"/>
  <c r="K9" i="3"/>
  <c r="L9" i="3" s="1"/>
  <c r="Q8" i="3"/>
  <c r="R8" i="3" s="1"/>
  <c r="K8" i="3"/>
  <c r="L8" i="3" s="1"/>
  <c r="Q7" i="3"/>
  <c r="R7" i="3" s="1"/>
  <c r="K7" i="3"/>
  <c r="L7" i="3" s="1"/>
  <c r="Q6" i="3"/>
  <c r="R6" i="3" s="1"/>
  <c r="K6" i="3"/>
  <c r="L6" i="3" s="1"/>
  <c r="Q5" i="3"/>
  <c r="R5" i="3" s="1"/>
  <c r="K5" i="3"/>
  <c r="L5" i="3" s="1"/>
  <c r="Q4" i="3"/>
  <c r="R4" i="3" s="1"/>
  <c r="K4" i="3"/>
  <c r="L4" i="3" s="1"/>
  <c r="B7" i="1"/>
  <c r="R10" i="4" l="1"/>
  <c r="H20" i="5" s="1"/>
  <c r="G20" i="5"/>
  <c r="L10" i="4"/>
  <c r="F20" i="5" s="1"/>
  <c r="E20" i="5"/>
  <c r="R9" i="4"/>
  <c r="H19" i="5" s="1"/>
  <c r="G19" i="5"/>
  <c r="L9" i="4"/>
  <c r="F19" i="5" s="1"/>
  <c r="E19" i="5"/>
  <c r="R8" i="4"/>
  <c r="H18" i="5" s="1"/>
  <c r="G18" i="5"/>
  <c r="L8" i="4"/>
  <c r="F18" i="5" s="1"/>
  <c r="E18" i="5"/>
  <c r="R7" i="4"/>
  <c r="H17" i="5" s="1"/>
  <c r="G17" i="5"/>
  <c r="L7" i="4"/>
  <c r="F17" i="5" s="1"/>
  <c r="E17" i="5"/>
  <c r="R6" i="4"/>
  <c r="H16" i="5" s="1"/>
  <c r="G16" i="5"/>
  <c r="L6" i="4"/>
  <c r="F16" i="5" s="1"/>
  <c r="E16" i="5"/>
  <c r="R5" i="4"/>
  <c r="G15" i="5"/>
  <c r="I15" i="6"/>
  <c r="L5" i="4"/>
  <c r="E15" i="5"/>
  <c r="D15" i="6"/>
  <c r="R4" i="4"/>
  <c r="G14" i="5"/>
  <c r="I14" i="6"/>
  <c r="L4" i="4"/>
  <c r="E14" i="5"/>
  <c r="D14" i="6"/>
  <c r="S13" i="3"/>
  <c r="G13" i="5"/>
  <c r="I13" i="6"/>
  <c r="M13" i="3"/>
  <c r="E13" i="5"/>
  <c r="D13" i="6"/>
  <c r="S12" i="3"/>
  <c r="G12" i="5"/>
  <c r="I12" i="6"/>
  <c r="M12" i="3"/>
  <c r="E12" i="5"/>
  <c r="D12" i="6"/>
  <c r="S11" i="3"/>
  <c r="G11" i="5"/>
  <c r="I11" i="6"/>
  <c r="M11" i="3"/>
  <c r="E11" i="5"/>
  <c r="D11" i="6"/>
  <c r="S10" i="3"/>
  <c r="G10" i="5"/>
  <c r="I10" i="6"/>
  <c r="M10" i="3"/>
  <c r="E10" i="5"/>
  <c r="D10" i="6"/>
  <c r="S9" i="3"/>
  <c r="G9" i="5"/>
  <c r="I9" i="6"/>
  <c r="M9" i="3"/>
  <c r="E9" i="5"/>
  <c r="D9" i="6"/>
  <c r="S8" i="3"/>
  <c r="G8" i="5"/>
  <c r="I8" i="6"/>
  <c r="M8" i="3"/>
  <c r="E8" i="5"/>
  <c r="D8" i="6"/>
  <c r="S7" i="3"/>
  <c r="G7" i="5"/>
  <c r="I7" i="6"/>
  <c r="M7" i="3"/>
  <c r="E7" i="5"/>
  <c r="D7" i="6"/>
  <c r="S6" i="3"/>
  <c r="G6" i="5"/>
  <c r="I6" i="6"/>
  <c r="M6" i="3"/>
  <c r="E6" i="5"/>
  <c r="D6" i="6"/>
  <c r="S5" i="3"/>
  <c r="G5" i="5"/>
  <c r="I5" i="6"/>
  <c r="M5" i="3"/>
  <c r="E5" i="5"/>
  <c r="D5" i="6"/>
  <c r="S4" i="3"/>
  <c r="G4" i="5"/>
  <c r="I4" i="6"/>
  <c r="M4" i="3"/>
  <c r="E4" i="5"/>
  <c r="D4" i="6"/>
  <c r="J15" i="6" l="1"/>
  <c r="H15" i="5"/>
  <c r="E15" i="6"/>
  <c r="F15" i="5"/>
  <c r="H14" i="5"/>
  <c r="J14" i="6"/>
  <c r="F14" i="5"/>
  <c r="E14" i="6"/>
  <c r="H13" i="5"/>
  <c r="J13" i="6"/>
  <c r="F13" i="5"/>
  <c r="E13" i="6"/>
  <c r="H12" i="5"/>
  <c r="J12" i="6"/>
  <c r="F12" i="5"/>
  <c r="E12" i="6"/>
  <c r="H11" i="5"/>
  <c r="J11" i="6"/>
  <c r="F11" i="5"/>
  <c r="E11" i="6"/>
  <c r="H10" i="5"/>
  <c r="J10" i="6"/>
  <c r="F10" i="5"/>
  <c r="E10" i="6"/>
  <c r="H9" i="5"/>
  <c r="J9" i="6"/>
  <c r="F9" i="5"/>
  <c r="E9" i="6"/>
  <c r="H8" i="5"/>
  <c r="J8" i="6"/>
  <c r="F8" i="5"/>
  <c r="E8" i="6"/>
  <c r="H7" i="5"/>
  <c r="J7" i="6"/>
  <c r="F7" i="5"/>
  <c r="E7" i="6"/>
  <c r="H6" i="5"/>
  <c r="J6" i="6"/>
  <c r="F6" i="5"/>
  <c r="E6" i="6"/>
  <c r="H5" i="5"/>
  <c r="J5" i="6"/>
  <c r="F5" i="5"/>
  <c r="E5" i="6"/>
  <c r="H4" i="5"/>
  <c r="J4" i="6"/>
  <c r="F4" i="5"/>
  <c r="E4" i="6"/>
  <c r="C13" i="10" l="1"/>
  <c r="B9" i="10"/>
  <c r="C5" i="7"/>
  <c r="C7" i="7"/>
  <c r="C6" i="7"/>
  <c r="C15" i="10"/>
  <c r="C14" i="10"/>
  <c r="B8" i="10"/>
  <c r="B6" i="7"/>
  <c r="B6" i="10"/>
  <c r="B5" i="7"/>
  <c r="B7" i="7"/>
  <c r="B7" i="10"/>
  <c r="B14" i="10"/>
  <c r="B13" i="10"/>
  <c r="B15" i="10"/>
</calcChain>
</file>

<file path=xl/sharedStrings.xml><?xml version="1.0" encoding="utf-8"?>
<sst xmlns="http://schemas.openxmlformats.org/spreadsheetml/2006/main" count="501" uniqueCount="310">
  <si>
    <t>Risk Management Plan (RMP)</t>
  </si>
  <si>
    <t>INFORMATION</t>
  </si>
  <si>
    <t>device_name</t>
  </si>
  <si>
    <t>BIV-300</t>
  </si>
  <si>
    <t>manufacturer</t>
  </si>
  <si>
    <t>Tu Institución</t>
  </si>
  <si>
    <t>version</t>
  </si>
  <si>
    <t>1.0</t>
  </si>
  <si>
    <t>created_date</t>
  </si>
  <si>
    <t>responsible</t>
  </si>
  <si>
    <t>Tu Nombre</t>
  </si>
  <si>
    <t>SEVERITY SCALE</t>
  </si>
  <si>
    <t>Nivel</t>
  </si>
  <si>
    <t>Descriptor</t>
  </si>
  <si>
    <t>Descripción</t>
  </si>
  <si>
    <t>S1</t>
  </si>
  <si>
    <t>Negligible</t>
  </si>
  <si>
    <t>Sin daño o daño mínimo</t>
  </si>
  <si>
    <t>S2</t>
  </si>
  <si>
    <t>Minor</t>
  </si>
  <si>
    <t>Lesión temporal sin intervención médica</t>
  </si>
  <si>
    <t>S3</t>
  </si>
  <si>
    <t>Serious</t>
  </si>
  <si>
    <t>Lesión que requiere intervención médica</t>
  </si>
  <si>
    <t>S4</t>
  </si>
  <si>
    <t>Critical</t>
  </si>
  <si>
    <t>Lesión permanente o discapacidad irreversible</t>
  </si>
  <si>
    <t>S5</t>
  </si>
  <si>
    <t>Catastrophic</t>
  </si>
  <si>
    <t>Muerte</t>
  </si>
  <si>
    <t>PROBABILITY SCALE</t>
  </si>
  <si>
    <t>Rango</t>
  </si>
  <si>
    <t>Interpretación</t>
  </si>
  <si>
    <t>P1</t>
  </si>
  <si>
    <t>P &lt; 10⁻⁶</t>
  </si>
  <si>
    <t>Improbable</t>
  </si>
  <si>
    <t>1 en 1,000,000</t>
  </si>
  <si>
    <t>P2</t>
  </si>
  <si>
    <t>10⁻⁶ ≤ P &lt; 10⁻⁵</t>
  </si>
  <si>
    <t>Remoto</t>
  </si>
  <si>
    <t>1 en 100,000</t>
  </si>
  <si>
    <t>P3</t>
  </si>
  <si>
    <t>10⁻⁵ ≤ P &lt; 10⁻⁴</t>
  </si>
  <si>
    <t>Ocasional</t>
  </si>
  <si>
    <t>1 en 10,000</t>
  </si>
  <si>
    <t>P4</t>
  </si>
  <si>
    <t>10⁻⁴ ≤ P &lt; 10⁻³</t>
  </si>
  <si>
    <t>Probable</t>
  </si>
  <si>
    <t>1 en 1,000</t>
  </si>
  <si>
    <t>P5</t>
  </si>
  <si>
    <t>P ≥ 10⁻³</t>
  </si>
  <si>
    <t>Frecuente</t>
  </si>
  <si>
    <t>≥ 1 en 1,000</t>
  </si>
  <si>
    <t>ACCEPTABILITY MATRIX</t>
  </si>
  <si>
    <t>S</t>
  </si>
  <si>
    <t>P</t>
  </si>
  <si>
    <t>ALARP</t>
  </si>
  <si>
    <t>❌</t>
  </si>
  <si>
    <t>✅</t>
  </si>
  <si>
    <t>Preliminary Hazard Analysis (PHA)</t>
  </si>
  <si>
    <t>ID_Hazard</t>
  </si>
  <si>
    <t>Hazard_Name</t>
  </si>
  <si>
    <t>Description</t>
  </si>
  <si>
    <t>Severity</t>
  </si>
  <si>
    <t>Source</t>
  </si>
  <si>
    <t>H-001</t>
  </si>
  <si>
    <t>Clamp falla</t>
  </si>
  <si>
    <t>Flujo libre causando sobredosis</t>
  </si>
  <si>
    <t>Análisis fallos</t>
  </si>
  <si>
    <t>H-002</t>
  </si>
  <si>
    <t>Usuario digita dosis incorrecta</t>
  </si>
  <si>
    <t>Interfaz confusa en turno nocturno</t>
  </si>
  <si>
    <t>Usabilidad</t>
  </si>
  <si>
    <t>H-003</t>
  </si>
  <si>
    <t>Batería agota</t>
  </si>
  <si>
    <t>Sistema se apaga sin aviso previo</t>
  </si>
  <si>
    <t>Electrónico</t>
  </si>
  <si>
    <t>H-004</t>
  </si>
  <si>
    <t>FET se quema</t>
  </si>
  <si>
    <t>Corto circuito en etapa de potencia</t>
  </si>
  <si>
    <t>H-005</t>
  </si>
  <si>
    <t>Motor no arranca</t>
  </si>
  <si>
    <t>Falla mecánica del actuador lineal</t>
  </si>
  <si>
    <t>Mecánico</t>
  </si>
  <si>
    <t>H-006</t>
  </si>
  <si>
    <t>Software calcula caudal incorrecto</t>
  </si>
  <si>
    <t>Overflow aritmético en cálculo de caudal</t>
  </si>
  <si>
    <t>Software</t>
  </si>
  <si>
    <t>H-007</t>
  </si>
  <si>
    <t>Usuario olvida calibrar</t>
  </si>
  <si>
    <t>Setup inicial completamente omitido</t>
  </si>
  <si>
    <t>H-008</t>
  </si>
  <si>
    <t>Tubing se desconecta</t>
  </si>
  <si>
    <t>Acoplamiento deficiente, flujo libre</t>
  </si>
  <si>
    <t>H-009</t>
  </si>
  <si>
    <t>Sensor de caudal falla</t>
  </si>
  <si>
    <t>Lectura errática o cero permanente</t>
  </si>
  <si>
    <t>H-010</t>
  </si>
  <si>
    <t>Pantalla se congela</t>
  </si>
  <si>
    <t>Watchdog timer no reinicia correctamente</t>
  </si>
  <si>
    <t>H-011</t>
  </si>
  <si>
    <t>Alarma no suena</t>
  </si>
  <si>
    <t>Buzzer falla o volumen insuficiente</t>
  </si>
  <si>
    <t>H-012</t>
  </si>
  <si>
    <t>Usuario confunde botones</t>
  </si>
  <si>
    <t>Layout similar, etiquetas pequeñas</t>
  </si>
  <si>
    <t>H-013</t>
  </si>
  <si>
    <t>Cable de poder suelto</t>
  </si>
  <si>
    <t>Contacto deficiente, desconexión súbita</t>
  </si>
  <si>
    <t>H-014</t>
  </si>
  <si>
    <t>Presión del paciente alta</t>
  </si>
  <si>
    <t>Falla en sensor o alarma de presión</t>
  </si>
  <si>
    <t>H-015</t>
  </si>
  <si>
    <t>Buffer overflow serial</t>
  </si>
  <si>
    <t>Software no responde a entrada serial</t>
  </si>
  <si>
    <t>Design FMEA (Mecánico / Electrónico / Software)</t>
  </si>
  <si>
    <t>⚠️  Columnas K,L,M,Q,R,S son AUTOMÁTICAS (amarillo) — NO editar</t>
  </si>
  <si>
    <t>Domain</t>
  </si>
  <si>
    <t>Failure_Mode</t>
  </si>
  <si>
    <t>Effect_Patient</t>
  </si>
  <si>
    <t>P1_method</t>
  </si>
  <si>
    <t>Mechanism_P2</t>
  </si>
  <si>
    <t>P_daño</t>
  </si>
  <si>
    <t>Nivel_P</t>
  </si>
  <si>
    <t>RI_inicial</t>
  </si>
  <si>
    <t>Control_Desc</t>
  </si>
  <si>
    <t>P2_residual</t>
  </si>
  <si>
    <t>P3_residual</t>
  </si>
  <si>
    <t>P_daño_residual</t>
  </si>
  <si>
    <t>Nivel_P_residual</t>
  </si>
  <si>
    <t>RR_residual</t>
  </si>
  <si>
    <t>Resorte se rompe</t>
  </si>
  <si>
    <t>Flujo libre</t>
  </si>
  <si>
    <t>Stress-Strength</t>
  </si>
  <si>
    <t>Montaje visual</t>
  </si>
  <si>
    <t>FET falla</t>
  </si>
  <si>
    <t>Pérdida potencia</t>
  </si>
  <si>
    <t>Exponencial</t>
  </si>
  <si>
    <t>Watchdog</t>
  </si>
  <si>
    <t>Overflow aritmético</t>
  </si>
  <si>
    <t>Caudal incorrecto</t>
  </si>
  <si>
    <t>Proxy IEC 62304</t>
  </si>
  <si>
    <t>Encoder+Presión</t>
  </si>
  <si>
    <t>Inspección visual</t>
  </si>
  <si>
    <t>Sensor caudal falla</t>
  </si>
  <si>
    <t>Sin lectura</t>
  </si>
  <si>
    <t>Auto-test</t>
  </si>
  <si>
    <t>Buzzer no activa</t>
  </si>
  <si>
    <t>Alarma silenciosa</t>
  </si>
  <si>
    <t>Test diario</t>
  </si>
  <si>
    <t>Cable suelto</t>
  </si>
  <si>
    <t>Desconexión</t>
  </si>
  <si>
    <t>Inspección</t>
  </si>
  <si>
    <t>Sensor presión falla</t>
  </si>
  <si>
    <t>No detecta presión</t>
  </si>
  <si>
    <t>Alarma redundante</t>
  </si>
  <si>
    <t>Pantalla congela</t>
  </si>
  <si>
    <t>No responde</t>
  </si>
  <si>
    <t>Watchdog HW</t>
  </si>
  <si>
    <t>Buffer overflow</t>
  </si>
  <si>
    <t>No responde serial</t>
  </si>
  <si>
    <t>Sanitización</t>
  </si>
  <si>
    <t>Usability FMEA (Error de Usuario)</t>
  </si>
  <si>
    <t>⚠️  Columnas J,K,L,P,Q,R son AUTOMÁTICAS (amarillo) — NO editar</t>
  </si>
  <si>
    <t>User_Error</t>
  </si>
  <si>
    <t>Context</t>
  </si>
  <si>
    <t>Protections</t>
  </si>
  <si>
    <t>Digita 150 vs 15</t>
  </si>
  <si>
    <t>Turno nocturno</t>
  </si>
  <si>
    <t>Empírico</t>
  </si>
  <si>
    <t>Pantalla confirm+DL</t>
  </si>
  <si>
    <t>Olvida calibrar</t>
  </si>
  <si>
    <t>Prisa setup</t>
  </si>
  <si>
    <t>Auto-test inicio</t>
  </si>
  <si>
    <t>Confunde botones</t>
  </si>
  <si>
    <t>Layout similar</t>
  </si>
  <si>
    <t>Etiquetas claras</t>
  </si>
  <si>
    <t>No detecta alarma</t>
  </si>
  <si>
    <t>Ambiente ruidoso</t>
  </si>
  <si>
    <t>Alarma visual LED</t>
  </si>
  <si>
    <t>No conecta cable</t>
  </si>
  <si>
    <t>Distracción setup</t>
  </si>
  <si>
    <t>Indicador en pantalla</t>
  </si>
  <si>
    <t>Acopla tubing mal</t>
  </si>
  <si>
    <t>Conexión similar</t>
  </si>
  <si>
    <t>Conector color</t>
  </si>
  <si>
    <t>Ignora alarma presión</t>
  </si>
  <si>
    <t>Fatiga alarmas</t>
  </si>
  <si>
    <t>Alarma no silenciable</t>
  </si>
  <si>
    <t>Risk Evaluation — Consolidada</t>
  </si>
  <si>
    <t>⚠️  Columnas B-H son AUTOMÁTICAS via VLOOKUP — NO editar</t>
  </si>
  <si>
    <t>Hazard_Desc</t>
  </si>
  <si>
    <t>Nivel_P_i</t>
  </si>
  <si>
    <t>RI_i</t>
  </si>
  <si>
    <t>Nivel_P_r</t>
  </si>
  <si>
    <t>RR_r</t>
  </si>
  <si>
    <t>Risk Control</t>
  </si>
  <si>
    <t>ID_Control</t>
  </si>
  <si>
    <t>Control_Type</t>
  </si>
  <si>
    <t>Verification</t>
  </si>
  <si>
    <t>Status</t>
  </si>
  <si>
    <t>RC-01</t>
  </si>
  <si>
    <t>Inherently safe design</t>
  </si>
  <si>
    <t>Clamp activo con resorte doble</t>
  </si>
  <si>
    <t>Test flujo libre</t>
  </si>
  <si>
    <t>Verificado</t>
  </si>
  <si>
    <t>RC-02</t>
  </si>
  <si>
    <t>Protective measure</t>
  </si>
  <si>
    <t>Watchdog+Sensor caudal</t>
  </si>
  <si>
    <t>Test caudal</t>
  </si>
  <si>
    <t>Implementado</t>
  </si>
  <si>
    <t>RC-03</t>
  </si>
  <si>
    <t>Revisión código MISRA C</t>
  </si>
  <si>
    <t>Prueba caja blanca</t>
  </si>
  <si>
    <t>RC-04</t>
  </si>
  <si>
    <t>Conector luer-lock seguro</t>
  </si>
  <si>
    <t>Test mecánico</t>
  </si>
  <si>
    <t>RC-05</t>
  </si>
  <si>
    <t>Auto-test periódico sensor</t>
  </si>
  <si>
    <t>Test sensor</t>
  </si>
  <si>
    <t>En proceso</t>
  </si>
  <si>
    <t>RC-06</t>
  </si>
  <si>
    <t>Test alarma automático inicio</t>
  </si>
  <si>
    <t>Test funcional</t>
  </si>
  <si>
    <t>RC-07</t>
  </si>
  <si>
    <t>Conector con seguro</t>
  </si>
  <si>
    <t>Test conectores</t>
  </si>
  <si>
    <t>RC-08</t>
  </si>
  <si>
    <t>Test alarma</t>
  </si>
  <si>
    <t>RC-09</t>
  </si>
  <si>
    <t>Watchdog HW reinicio</t>
  </si>
  <si>
    <t>Test integración</t>
  </si>
  <si>
    <t>RC-10</t>
  </si>
  <si>
    <t>Sanitización entrada</t>
  </si>
  <si>
    <t>Test seguridad</t>
  </si>
  <si>
    <t>Planificado</t>
  </si>
  <si>
    <t>RC-11</t>
  </si>
  <si>
    <t>Drug Library soft/hard limits</t>
  </si>
  <si>
    <t>Estudio usabilidad</t>
  </si>
  <si>
    <t>RC-12</t>
  </si>
  <si>
    <t>Safety information</t>
  </si>
  <si>
    <t>Manual IFU advertencias</t>
  </si>
  <si>
    <t>Revisión IFU</t>
  </si>
  <si>
    <t>Overall Residual Risk Assessment</t>
  </si>
  <si>
    <t>Métrica</t>
  </si>
  <si>
    <t>Inicial</t>
  </si>
  <si>
    <t>Residual</t>
  </si>
  <si>
    <t>Total Riesgos</t>
  </si>
  <si>
    <t>❌ INACEPTABLE</t>
  </si>
  <si>
    <t>✅ ACEPTABLE</t>
  </si>
  <si>
    <t>Risk Management Review (RMR)</t>
  </si>
  <si>
    <t>Objetivo</t>
  </si>
  <si>
    <t>Criterio</t>
  </si>
  <si>
    <t>Resultado</t>
  </si>
  <si>
    <t>Evidencia</t>
  </si>
  <si>
    <t>Todos los peligros identificados</t>
  </si>
  <si>
    <t>Peligros ≥ 10</t>
  </si>
  <si>
    <t>[Sí/No]</t>
  </si>
  <si>
    <t>Link a 01_PHA</t>
  </si>
  <si>
    <t>Riesgos evaluados</t>
  </si>
  <si>
    <t>P_daño estimado para cada</t>
  </si>
  <si>
    <t>Link a 02/03 FMEA</t>
  </si>
  <si>
    <t>Controles implementados</t>
  </si>
  <si>
    <t>RC para cada ❌</t>
  </si>
  <si>
    <t>Link a 05_Risk_Control</t>
  </si>
  <si>
    <t>Riesgo residual aceptable</t>
  </si>
  <si>
    <t>P_residual = ALARP</t>
  </si>
  <si>
    <t>Link a 06_Overall_RR</t>
  </si>
  <si>
    <t>Documentación completa</t>
  </si>
  <si>
    <t>RMP, FMEA, RC, RMR</t>
  </si>
  <si>
    <t>Link a GitHub DHF</t>
  </si>
  <si>
    <t>Verificación evidenciada</t>
  </si>
  <si>
    <t>Pruebas documentadas</t>
  </si>
  <si>
    <t>Link a evidencia</t>
  </si>
  <si>
    <t>Post-Production Monitoring and Management</t>
  </si>
  <si>
    <t>Actividad</t>
  </si>
  <si>
    <t>Indicador</t>
  </si>
  <si>
    <t>Frecuencia</t>
  </si>
  <si>
    <t>Responsable</t>
  </si>
  <si>
    <t>Reporte de incidentes</t>
  </si>
  <si>
    <t>Eventos adversos</t>
  </si>
  <si>
    <t>Continua</t>
  </si>
  <si>
    <t>Servicio Técnico</t>
  </si>
  <si>
    <t>Análisis de tendencias</t>
  </si>
  <si>
    <t>Fallos reportados</t>
  </si>
  <si>
    <t>Trimestral</t>
  </si>
  <si>
    <t>Ingeniería</t>
  </si>
  <si>
    <t>Actualización RMF</t>
  </si>
  <si>
    <t>Nuevos peligros</t>
  </si>
  <si>
    <t>Anual</t>
  </si>
  <si>
    <t>Gestión de Riesgos</t>
  </si>
  <si>
    <t>Revisión de controles</t>
  </si>
  <si>
    <t>Eficacia de medidas</t>
  </si>
  <si>
    <t>Aseguramiento Calidad</t>
  </si>
  <si>
    <t>Literatura clínica</t>
  </si>
  <si>
    <t>Nuevas publicaciones</t>
  </si>
  <si>
    <t>Semestral</t>
  </si>
  <si>
    <t>Encuesta usuario</t>
  </si>
  <si>
    <t>Quejas y sugerencias</t>
  </si>
  <si>
    <t>DASHBOARD — RMF  |  BIV-300</t>
  </si>
  <si>
    <t>SUMMARY METRICS</t>
  </si>
  <si>
    <t>Total Peligros Identificados</t>
  </si>
  <si>
    <t>Total Riesgos Analizados</t>
  </si>
  <si>
    <t>Riesgos ❌ INACEPTABLE (inicial)</t>
  </si>
  <si>
    <t>Riesgos ALARP (inicial)</t>
  </si>
  <si>
    <t>Riesgos ❌ INACEPTABLE (residual)</t>
  </si>
  <si>
    <t>Riesgos ✅ ACEPTABLE (residual)</t>
  </si>
  <si>
    <t>DATOS PARA GRÁFICOS</t>
  </si>
  <si>
    <t>Estado</t>
  </si>
  <si>
    <t>⚠️  INSTRUCCIONES: 1) Completa 01_PHA → 2) Analiza en 02/03 FMEA → 3) Dashboard se actualiza automáticamente → 4) Columnas en AMARILLO son automáticas, NO editar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</si>
</sst>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8B000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sz val="11"/>
      <name val="Arial"/>
      <family val="2"/>
    </font>
    <font>
      <b/>
      <sz val="10"/>
      <color rgb="FF8B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A52A2A"/>
      </patternFill>
    </fill>
    <fill>
      <patternFill patternType="solid">
        <fgColor rgb="FFD9D9D9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1" fontId="6" fillId="0" borderId="1" xfId="0" applyNumberFormat="1" applyFont="1" applyBorder="1" applyAlignment="1">
      <alignment horizontal="left" vertical="center"/>
    </xf>
    <xf numFmtId="11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9" fillId="0" borderId="1" xfId="0" applyFont="1" applyBorder="1"/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13" fillId="0" borderId="1" xfId="0" applyFont="1" applyBorder="1"/>
    <xf numFmtId="0" fontId="6" fillId="11" borderId="1" xfId="0" applyFont="1" applyFill="1" applyBorder="1" applyAlignment="1">
      <alignment horizontal="center" vertical="center"/>
    </xf>
    <xf numFmtId="0" fontId="0" fillId="0" borderId="1" xfId="0" applyBorder="1"/>
    <xf numFmtId="0" fontId="14" fillId="8" borderId="0" xfId="0" applyFont="1" applyFill="1" applyAlignment="1">
      <alignment horizontal="center" wrapText="1"/>
    </xf>
    <xf numFmtId="0" fontId="0" fillId="0" borderId="0" xfId="0"/>
    <xf numFmtId="0" fontId="12" fillId="10" borderId="0" xfId="0" applyFont="1" applyFill="1"/>
    <xf numFmtId="0" fontId="10" fillId="10" borderId="0" xfId="0" applyFont="1" applyFill="1"/>
    <xf numFmtId="0" fontId="1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wrapText="1"/>
    </xf>
    <xf numFmtId="0" fontId="1" fillId="2" borderId="0" xfId="0" applyFont="1" applyFill="1"/>
    <xf numFmtId="0" fontId="5" fillId="2" borderId="2" xfId="0" applyFont="1" applyFill="1" applyBorder="1" applyAlignment="1">
      <alignment horizontal="center" vertical="center"/>
    </xf>
    <xf numFmtId="0" fontId="3" fillId="0" borderId="0" xfId="0" applyFont="1" applyBorder="1"/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Progreso de Riesgos: Inicial vs Residual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5077160493827158E-2"/>
          <c:y val="3.0683403068340307E-2"/>
          <c:w val="0.74853904320987652"/>
          <c:h val="0.8716875871687587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Dashboard!$A$13</c:f>
              <c:strCache>
                <c:ptCount val="1"/>
                <c:pt idx="0">
                  <c:v>❌ INACEPTABLE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Dashboard!$B$12:$C$12</c:f>
              <c:strCache>
                <c:ptCount val="2"/>
                <c:pt idx="0">
                  <c:v>Inicial</c:v>
                </c:pt>
                <c:pt idx="1">
                  <c:v>Residual</c:v>
                </c:pt>
              </c:strCache>
            </c:strRef>
          </c:cat>
          <c:val>
            <c:numRef>
              <c:f>Dashboard!$B$13:$C$13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5-4198-A373-8228DDB2BB93}"/>
            </c:ext>
          </c:extLst>
        </c:ser>
        <c:ser>
          <c:idx val="1"/>
          <c:order val="1"/>
          <c:tx>
            <c:strRef>
              <c:f>Dashboard!$A$14</c:f>
              <c:strCache>
                <c:ptCount val="1"/>
                <c:pt idx="0">
                  <c:v>ALARP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Dashboard!$B$12:$C$12</c:f>
              <c:strCache>
                <c:ptCount val="2"/>
                <c:pt idx="0">
                  <c:v>Inicial</c:v>
                </c:pt>
                <c:pt idx="1">
                  <c:v>Residual</c:v>
                </c:pt>
              </c:strCache>
            </c:strRef>
          </c:cat>
          <c:val>
            <c:numRef>
              <c:f>Dashboard!$B$14:$C$14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5-4198-A373-8228DDB2BB93}"/>
            </c:ext>
          </c:extLst>
        </c:ser>
        <c:ser>
          <c:idx val="2"/>
          <c:order val="2"/>
          <c:tx>
            <c:strRef>
              <c:f>Dashboard!$A$15</c:f>
              <c:strCache>
                <c:ptCount val="1"/>
                <c:pt idx="0">
                  <c:v>✅ ACEPTABLE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Dashboard!$B$12:$C$12</c:f>
              <c:strCache>
                <c:ptCount val="2"/>
                <c:pt idx="0">
                  <c:v>Inicial</c:v>
                </c:pt>
                <c:pt idx="1">
                  <c:v>Residual</c:v>
                </c:pt>
              </c:strCache>
            </c:strRef>
          </c:cat>
          <c:val>
            <c:numRef>
              <c:f>Dashboard!$B$15:$C$15</c:f>
              <c:numCache>
                <c:formatCode>General</c:formatCode>
                <c:ptCount val="2"/>
                <c:pt idx="0">
                  <c:v>1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15-4198-A373-8228DDB2B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INICIAL                                                                     RESIDUAL</a:t>
                </a:r>
              </a:p>
            </c:rich>
          </c:tx>
          <c:layout>
            <c:manualLayout>
              <c:xMode val="edge"/>
              <c:yMode val="edge"/>
              <c:x val="0.18219182098765432"/>
              <c:y val="0.9274059675594944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Número de Riesgos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4552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15" workbookViewId="0">
      <selection activeCell="H22" sqref="H22"/>
    </sheetView>
  </sheetViews>
  <sheetFormatPr defaultColWidth="9.140625" defaultRowHeight="15" x14ac:dyDescent="0.25"/>
  <cols>
    <col min="1" max="1" width="28" customWidth="1"/>
    <col min="2" max="2" width="35" customWidth="1"/>
    <col min="3" max="3" width="11.5703125" bestFit="1" customWidth="1"/>
  </cols>
  <sheetData>
    <row r="1" spans="1:3" ht="18" customHeight="1" x14ac:dyDescent="0.25">
      <c r="A1" s="35" t="s">
        <v>0</v>
      </c>
      <c r="B1" s="30"/>
    </row>
    <row r="3" spans="1:3" x14ac:dyDescent="0.25">
      <c r="A3" s="1" t="s">
        <v>1</v>
      </c>
    </row>
    <row r="4" spans="1:3" x14ac:dyDescent="0.25">
      <c r="A4" s="2" t="s">
        <v>2</v>
      </c>
      <c r="B4" s="3" t="s">
        <v>3</v>
      </c>
    </row>
    <row r="5" spans="1:3" x14ac:dyDescent="0.25">
      <c r="A5" s="2" t="s">
        <v>4</v>
      </c>
      <c r="B5" s="3" t="s">
        <v>5</v>
      </c>
    </row>
    <row r="6" spans="1:3" x14ac:dyDescent="0.25">
      <c r="A6" s="2" t="s">
        <v>6</v>
      </c>
      <c r="B6" s="3" t="s">
        <v>7</v>
      </c>
    </row>
    <row r="7" spans="1:3" x14ac:dyDescent="0.25">
      <c r="A7" s="2" t="s">
        <v>8</v>
      </c>
      <c r="B7" s="4">
        <f ca="1">TODAY()</f>
        <v>46158</v>
      </c>
    </row>
    <row r="8" spans="1:3" x14ac:dyDescent="0.25">
      <c r="A8" s="2" t="s">
        <v>9</v>
      </c>
      <c r="B8" s="3" t="s">
        <v>10</v>
      </c>
    </row>
    <row r="10" spans="1:3" x14ac:dyDescent="0.25">
      <c r="A10" s="34" t="s">
        <v>11</v>
      </c>
      <c r="B10" s="30"/>
    </row>
    <row r="11" spans="1:3" x14ac:dyDescent="0.25">
      <c r="A11" s="5" t="s">
        <v>12</v>
      </c>
      <c r="B11" s="5" t="s">
        <v>13</v>
      </c>
      <c r="C11" s="5" t="s">
        <v>14</v>
      </c>
    </row>
    <row r="12" spans="1:3" ht="38.25" customHeight="1" x14ac:dyDescent="0.25">
      <c r="A12" s="6" t="s">
        <v>15</v>
      </c>
      <c r="B12" s="7" t="s">
        <v>16</v>
      </c>
      <c r="C12" s="7" t="s">
        <v>17</v>
      </c>
    </row>
    <row r="13" spans="1:3" ht="76.5" customHeight="1" x14ac:dyDescent="0.25">
      <c r="A13" s="6" t="s">
        <v>18</v>
      </c>
      <c r="B13" s="7" t="s">
        <v>19</v>
      </c>
      <c r="C13" s="7" t="s">
        <v>20</v>
      </c>
    </row>
    <row r="14" spans="1:3" ht="76.5" customHeight="1" x14ac:dyDescent="0.25">
      <c r="A14" s="6" t="s">
        <v>21</v>
      </c>
      <c r="B14" s="7" t="s">
        <v>22</v>
      </c>
      <c r="C14" s="7" t="s">
        <v>23</v>
      </c>
    </row>
    <row r="15" spans="1:3" ht="89.25" customHeight="1" x14ac:dyDescent="0.25">
      <c r="A15" s="6" t="s">
        <v>24</v>
      </c>
      <c r="B15" s="7" t="s">
        <v>25</v>
      </c>
      <c r="C15" s="7" t="s">
        <v>26</v>
      </c>
    </row>
    <row r="16" spans="1:3" x14ac:dyDescent="0.25">
      <c r="A16" s="6" t="s">
        <v>27</v>
      </c>
      <c r="B16" s="7" t="s">
        <v>28</v>
      </c>
      <c r="C16" s="7" t="s">
        <v>29</v>
      </c>
    </row>
    <row r="19" spans="1:7" x14ac:dyDescent="0.25">
      <c r="A19" s="34" t="s">
        <v>30</v>
      </c>
      <c r="B19" s="30"/>
    </row>
    <row r="20" spans="1:7" x14ac:dyDescent="0.25">
      <c r="A20" s="5" t="s">
        <v>12</v>
      </c>
      <c r="B20" s="5" t="s">
        <v>31</v>
      </c>
      <c r="C20" s="5" t="s">
        <v>13</v>
      </c>
      <c r="D20" s="5" t="s">
        <v>32</v>
      </c>
    </row>
    <row r="21" spans="1:7" ht="25.5" customHeight="1" x14ac:dyDescent="0.25">
      <c r="A21" s="6" t="s">
        <v>33</v>
      </c>
      <c r="B21" s="7" t="s">
        <v>34</v>
      </c>
      <c r="C21" s="7" t="s">
        <v>35</v>
      </c>
      <c r="D21" s="7" t="s">
        <v>36</v>
      </c>
    </row>
    <row r="22" spans="1:7" ht="25.5" customHeight="1" x14ac:dyDescent="0.25">
      <c r="A22" s="6" t="s">
        <v>37</v>
      </c>
      <c r="B22" s="7" t="s">
        <v>38</v>
      </c>
      <c r="C22" s="7" t="s">
        <v>39</v>
      </c>
      <c r="D22" s="7" t="s">
        <v>40</v>
      </c>
    </row>
    <row r="23" spans="1:7" ht="25.5" customHeight="1" x14ac:dyDescent="0.25">
      <c r="A23" s="6" t="s">
        <v>41</v>
      </c>
      <c r="B23" s="7" t="s">
        <v>42</v>
      </c>
      <c r="C23" s="7" t="s">
        <v>43</v>
      </c>
      <c r="D23" s="7" t="s">
        <v>44</v>
      </c>
    </row>
    <row r="24" spans="1:7" ht="25.5" customHeight="1" x14ac:dyDescent="0.25">
      <c r="A24" s="6" t="s">
        <v>45</v>
      </c>
      <c r="B24" s="7" t="s">
        <v>46</v>
      </c>
      <c r="C24" s="7" t="s">
        <v>47</v>
      </c>
      <c r="D24" s="7" t="s">
        <v>48</v>
      </c>
    </row>
    <row r="25" spans="1:7" ht="25.5" customHeight="1" x14ac:dyDescent="0.25">
      <c r="A25" s="6" t="s">
        <v>49</v>
      </c>
      <c r="B25" s="7" t="s">
        <v>50</v>
      </c>
      <c r="C25" s="7" t="s">
        <v>51</v>
      </c>
      <c r="D25" s="7" t="s">
        <v>52</v>
      </c>
    </row>
    <row r="28" spans="1:7" x14ac:dyDescent="0.25">
      <c r="A28" s="34" t="s">
        <v>53</v>
      </c>
      <c r="B28" s="30"/>
      <c r="C28" s="30"/>
      <c r="D28" s="30"/>
      <c r="E28" s="30"/>
      <c r="F28" s="30"/>
    </row>
    <row r="29" spans="1:7" x14ac:dyDescent="0.25">
      <c r="A29" s="1"/>
      <c r="C29" s="5" t="s">
        <v>54</v>
      </c>
      <c r="D29" s="5" t="s">
        <v>54</v>
      </c>
      <c r="E29" s="5" t="s">
        <v>54</v>
      </c>
      <c r="F29" s="5" t="s">
        <v>54</v>
      </c>
      <c r="G29" s="5" t="s">
        <v>54</v>
      </c>
    </row>
    <row r="30" spans="1:7" x14ac:dyDescent="0.25">
      <c r="B30" s="39"/>
      <c r="C30" s="38">
        <v>1</v>
      </c>
      <c r="D30" s="5">
        <v>2</v>
      </c>
      <c r="E30" s="5">
        <v>3</v>
      </c>
      <c r="F30" s="5">
        <v>4</v>
      </c>
      <c r="G30" s="5">
        <v>5</v>
      </c>
    </row>
    <row r="31" spans="1:7" x14ac:dyDescent="0.25">
      <c r="A31" s="42" t="s">
        <v>55</v>
      </c>
      <c r="B31" s="43">
        <v>5</v>
      </c>
      <c r="C31" s="40" t="s">
        <v>56</v>
      </c>
      <c r="D31" s="9" t="s">
        <v>56</v>
      </c>
      <c r="E31" s="10" t="s">
        <v>57</v>
      </c>
      <c r="F31" s="10" t="s">
        <v>57</v>
      </c>
      <c r="G31" s="10" t="s">
        <v>57</v>
      </c>
    </row>
    <row r="32" spans="1:7" x14ac:dyDescent="0.25">
      <c r="A32" s="42" t="s">
        <v>55</v>
      </c>
      <c r="B32" s="43">
        <v>4</v>
      </c>
      <c r="C32" s="41" t="s">
        <v>58</v>
      </c>
      <c r="D32" s="9" t="s">
        <v>56</v>
      </c>
      <c r="E32" s="9" t="s">
        <v>56</v>
      </c>
      <c r="F32" s="10" t="s">
        <v>57</v>
      </c>
      <c r="G32" s="10" t="s">
        <v>57</v>
      </c>
    </row>
    <row r="33" spans="1:7" x14ac:dyDescent="0.25">
      <c r="A33" s="42" t="s">
        <v>55</v>
      </c>
      <c r="B33" s="43">
        <v>3</v>
      </c>
      <c r="C33" s="41" t="s">
        <v>58</v>
      </c>
      <c r="D33" s="11" t="s">
        <v>58</v>
      </c>
      <c r="E33" s="9" t="s">
        <v>56</v>
      </c>
      <c r="F33" s="9" t="s">
        <v>56</v>
      </c>
      <c r="G33" s="10" t="s">
        <v>57</v>
      </c>
    </row>
    <row r="34" spans="1:7" x14ac:dyDescent="0.25">
      <c r="A34" s="42" t="s">
        <v>55</v>
      </c>
      <c r="B34" s="43">
        <v>2</v>
      </c>
      <c r="C34" s="41" t="s">
        <v>58</v>
      </c>
      <c r="D34" s="11" t="s">
        <v>58</v>
      </c>
      <c r="E34" s="11" t="s">
        <v>58</v>
      </c>
      <c r="F34" s="9" t="s">
        <v>56</v>
      </c>
      <c r="G34" s="9" t="s">
        <v>56</v>
      </c>
    </row>
    <row r="35" spans="1:7" x14ac:dyDescent="0.25">
      <c r="A35" s="42" t="s">
        <v>55</v>
      </c>
      <c r="B35" s="44">
        <v>1</v>
      </c>
      <c r="C35" s="41" t="s">
        <v>58</v>
      </c>
      <c r="D35" s="11" t="s">
        <v>58</v>
      </c>
      <c r="E35" s="11" t="s">
        <v>58</v>
      </c>
      <c r="F35" s="11" t="s">
        <v>58</v>
      </c>
      <c r="G35" s="9" t="s">
        <v>56</v>
      </c>
    </row>
  </sheetData>
  <mergeCells count="4">
    <mergeCell ref="A19:B19"/>
    <mergeCell ref="A28:F28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sqref="A1:E1"/>
    </sheetView>
  </sheetViews>
  <sheetFormatPr defaultColWidth="9.140625" defaultRowHeight="15" x14ac:dyDescent="0.25"/>
  <cols>
    <col min="1" max="1" width="12" customWidth="1"/>
    <col min="2" max="2" width="22" customWidth="1"/>
    <col min="3" max="3" width="38" customWidth="1"/>
    <col min="4" max="4" width="10" customWidth="1"/>
    <col min="5" max="5" width="18" customWidth="1"/>
  </cols>
  <sheetData>
    <row r="1" spans="1:5" ht="18" customHeight="1" x14ac:dyDescent="0.25">
      <c r="A1" s="35" t="s">
        <v>59</v>
      </c>
      <c r="B1" s="30"/>
      <c r="C1" s="30"/>
      <c r="D1" s="30"/>
      <c r="E1" s="30"/>
    </row>
    <row r="3" spans="1:5" x14ac:dyDescent="0.25">
      <c r="A3" s="12" t="s">
        <v>60</v>
      </c>
      <c r="B3" s="12" t="s">
        <v>61</v>
      </c>
      <c r="C3" s="12" t="s">
        <v>62</v>
      </c>
      <c r="D3" s="12" t="s">
        <v>63</v>
      </c>
      <c r="E3" s="12" t="s">
        <v>64</v>
      </c>
    </row>
    <row r="4" spans="1:5" x14ac:dyDescent="0.25">
      <c r="A4" s="7" t="s">
        <v>65</v>
      </c>
      <c r="B4" s="7" t="s">
        <v>66</v>
      </c>
      <c r="C4" s="7" t="s">
        <v>67</v>
      </c>
      <c r="D4" s="13" t="s">
        <v>27</v>
      </c>
      <c r="E4" s="7" t="s">
        <v>68</v>
      </c>
    </row>
    <row r="5" spans="1:5" ht="25.5" customHeight="1" x14ac:dyDescent="0.25">
      <c r="A5" s="7" t="s">
        <v>69</v>
      </c>
      <c r="B5" s="7" t="s">
        <v>70</v>
      </c>
      <c r="C5" s="7" t="s">
        <v>71</v>
      </c>
      <c r="D5" s="13" t="s">
        <v>27</v>
      </c>
      <c r="E5" s="7" t="s">
        <v>72</v>
      </c>
    </row>
    <row r="6" spans="1:5" x14ac:dyDescent="0.25">
      <c r="A6" s="7" t="s">
        <v>73</v>
      </c>
      <c r="B6" s="7" t="s">
        <v>74</v>
      </c>
      <c r="C6" s="7" t="s">
        <v>75</v>
      </c>
      <c r="D6" s="14" t="s">
        <v>24</v>
      </c>
      <c r="E6" s="7" t="s">
        <v>76</v>
      </c>
    </row>
    <row r="7" spans="1:5" x14ac:dyDescent="0.25">
      <c r="A7" s="7" t="s">
        <v>77</v>
      </c>
      <c r="B7" s="7" t="s">
        <v>78</v>
      </c>
      <c r="C7" s="7" t="s">
        <v>79</v>
      </c>
      <c r="D7" s="14" t="s">
        <v>24</v>
      </c>
      <c r="E7" s="7" t="s">
        <v>76</v>
      </c>
    </row>
    <row r="8" spans="1:5" x14ac:dyDescent="0.25">
      <c r="A8" s="7" t="s">
        <v>80</v>
      </c>
      <c r="B8" s="7" t="s">
        <v>81</v>
      </c>
      <c r="C8" s="7" t="s">
        <v>82</v>
      </c>
      <c r="D8" s="14" t="s">
        <v>24</v>
      </c>
      <c r="E8" s="7" t="s">
        <v>83</v>
      </c>
    </row>
    <row r="9" spans="1:5" ht="25.5" customHeight="1" x14ac:dyDescent="0.25">
      <c r="A9" s="7" t="s">
        <v>84</v>
      </c>
      <c r="B9" s="7" t="s">
        <v>85</v>
      </c>
      <c r="C9" s="7" t="s">
        <v>86</v>
      </c>
      <c r="D9" s="13" t="s">
        <v>27</v>
      </c>
      <c r="E9" s="7" t="s">
        <v>87</v>
      </c>
    </row>
    <row r="10" spans="1:5" x14ac:dyDescent="0.25">
      <c r="A10" s="7" t="s">
        <v>88</v>
      </c>
      <c r="B10" s="7" t="s">
        <v>89</v>
      </c>
      <c r="C10" s="7" t="s">
        <v>90</v>
      </c>
      <c r="D10" s="14" t="s">
        <v>24</v>
      </c>
      <c r="E10" s="7" t="s">
        <v>72</v>
      </c>
    </row>
    <row r="11" spans="1:5" x14ac:dyDescent="0.25">
      <c r="A11" s="7" t="s">
        <v>91</v>
      </c>
      <c r="B11" s="7" t="s">
        <v>92</v>
      </c>
      <c r="C11" s="7" t="s">
        <v>93</v>
      </c>
      <c r="D11" s="13" t="s">
        <v>27</v>
      </c>
      <c r="E11" s="7" t="s">
        <v>83</v>
      </c>
    </row>
    <row r="12" spans="1:5" x14ac:dyDescent="0.25">
      <c r="A12" s="7" t="s">
        <v>94</v>
      </c>
      <c r="B12" s="7" t="s">
        <v>95</v>
      </c>
      <c r="C12" s="7" t="s">
        <v>96</v>
      </c>
      <c r="D12" s="14" t="s">
        <v>24</v>
      </c>
      <c r="E12" s="7" t="s">
        <v>76</v>
      </c>
    </row>
    <row r="13" spans="1:5" x14ac:dyDescent="0.25">
      <c r="A13" s="7" t="s">
        <v>97</v>
      </c>
      <c r="B13" s="7" t="s">
        <v>98</v>
      </c>
      <c r="C13" s="7" t="s">
        <v>99</v>
      </c>
      <c r="D13" s="15" t="s">
        <v>21</v>
      </c>
      <c r="E13" s="7" t="s">
        <v>87</v>
      </c>
    </row>
    <row r="14" spans="1:5" x14ac:dyDescent="0.25">
      <c r="A14" s="7" t="s">
        <v>100</v>
      </c>
      <c r="B14" s="7" t="s">
        <v>101</v>
      </c>
      <c r="C14" s="7" t="s">
        <v>102</v>
      </c>
      <c r="D14" s="13" t="s">
        <v>27</v>
      </c>
      <c r="E14" s="7" t="s">
        <v>76</v>
      </c>
    </row>
    <row r="15" spans="1:5" ht="25.5" customHeight="1" x14ac:dyDescent="0.25">
      <c r="A15" s="7" t="s">
        <v>103</v>
      </c>
      <c r="B15" s="7" t="s">
        <v>104</v>
      </c>
      <c r="C15" s="7" t="s">
        <v>105</v>
      </c>
      <c r="D15" s="14" t="s">
        <v>24</v>
      </c>
      <c r="E15" s="7" t="s">
        <v>72</v>
      </c>
    </row>
    <row r="16" spans="1:5" x14ac:dyDescent="0.25">
      <c r="A16" s="7" t="s">
        <v>106</v>
      </c>
      <c r="B16" s="7" t="s">
        <v>107</v>
      </c>
      <c r="C16" s="7" t="s">
        <v>108</v>
      </c>
      <c r="D16" s="14" t="s">
        <v>24</v>
      </c>
      <c r="E16" s="7" t="s">
        <v>83</v>
      </c>
    </row>
    <row r="17" spans="1:5" x14ac:dyDescent="0.25">
      <c r="A17" s="7" t="s">
        <v>109</v>
      </c>
      <c r="B17" s="7" t="s">
        <v>110</v>
      </c>
      <c r="C17" s="7" t="s">
        <v>111</v>
      </c>
      <c r="D17" s="13" t="s">
        <v>27</v>
      </c>
      <c r="E17" s="7" t="s">
        <v>76</v>
      </c>
    </row>
    <row r="18" spans="1:5" x14ac:dyDescent="0.25">
      <c r="A18" s="7" t="s">
        <v>112</v>
      </c>
      <c r="B18" s="7" t="s">
        <v>113</v>
      </c>
      <c r="C18" s="7" t="s">
        <v>114</v>
      </c>
      <c r="D18" s="15" t="s">
        <v>21</v>
      </c>
      <c r="E18" s="7" t="s">
        <v>87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3"/>
  <sheetViews>
    <sheetView workbookViewId="0">
      <selection activeCell="M23" sqref="M23"/>
    </sheetView>
  </sheetViews>
  <sheetFormatPr defaultColWidth="9.140625" defaultRowHeight="15" x14ac:dyDescent="0.25"/>
  <cols>
    <col min="1" max="19" width="12" customWidth="1"/>
  </cols>
  <sheetData>
    <row r="1" spans="1:19" ht="18" customHeight="1" x14ac:dyDescent="0.25">
      <c r="A1" s="37" t="s">
        <v>115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x14ac:dyDescent="0.25">
      <c r="A2" s="36" t="s">
        <v>116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ht="24" customHeight="1" x14ac:dyDescent="0.25">
      <c r="A3" s="16" t="s">
        <v>60</v>
      </c>
      <c r="B3" s="16" t="s">
        <v>117</v>
      </c>
      <c r="C3" s="16" t="s">
        <v>118</v>
      </c>
      <c r="D3" s="16" t="s">
        <v>119</v>
      </c>
      <c r="E3" s="16" t="s">
        <v>54</v>
      </c>
      <c r="F3" s="16" t="s">
        <v>120</v>
      </c>
      <c r="G3" s="16" t="s">
        <v>33</v>
      </c>
      <c r="H3" s="16" t="s">
        <v>121</v>
      </c>
      <c r="I3" s="16" t="s">
        <v>37</v>
      </c>
      <c r="J3" s="16" t="s">
        <v>41</v>
      </c>
      <c r="K3" s="16" t="s">
        <v>122</v>
      </c>
      <c r="L3" s="16" t="s">
        <v>123</v>
      </c>
      <c r="M3" s="16" t="s">
        <v>124</v>
      </c>
      <c r="N3" s="16" t="s">
        <v>125</v>
      </c>
      <c r="O3" s="16" t="s">
        <v>126</v>
      </c>
      <c r="P3" s="16" t="s">
        <v>127</v>
      </c>
      <c r="Q3" s="16" t="s">
        <v>128</v>
      </c>
      <c r="R3" s="16" t="s">
        <v>129</v>
      </c>
      <c r="S3" s="16" t="s">
        <v>130</v>
      </c>
    </row>
    <row r="4" spans="1:19" x14ac:dyDescent="0.25">
      <c r="A4" s="17" t="s">
        <v>65</v>
      </c>
      <c r="B4" s="18" t="s">
        <v>83</v>
      </c>
      <c r="C4" s="18" t="s">
        <v>131</v>
      </c>
      <c r="D4" s="18" t="s">
        <v>132</v>
      </c>
      <c r="E4" s="17">
        <v>5</v>
      </c>
      <c r="F4" s="18" t="s">
        <v>133</v>
      </c>
      <c r="G4" s="19">
        <v>2.9999999999999998E-14</v>
      </c>
      <c r="H4" s="18" t="s">
        <v>134</v>
      </c>
      <c r="I4" s="18">
        <v>0.02</v>
      </c>
      <c r="J4" s="18">
        <v>0.9</v>
      </c>
      <c r="K4" s="20">
        <f t="shared" ref="K4:K13" si="0">G4*I4*J4</f>
        <v>5.4E-16</v>
      </c>
      <c r="L4" s="21">
        <f t="shared" ref="L4:L13" si="1">IF(K4&lt;0.000001,1,IF(K4&lt;0.00001,2,IF(K4&lt;0.0001,3,IF(K4&lt;0.001,4,5))))</f>
        <v>1</v>
      </c>
      <c r="M4" s="21" t="str">
        <f t="shared" ref="M4:M13" si="2">INDEX(MatrizAceptabilidad,MATCH(L4,NivelesP,0),MATCH(E4,NivelesS,0))</f>
        <v>ALARP</v>
      </c>
      <c r="Q4" s="20">
        <f t="shared" ref="Q4:Q13" si="3">G4*O4*P4</f>
        <v>0</v>
      </c>
      <c r="R4" s="21">
        <f t="shared" ref="R4:R13" si="4">IF(Q4&lt;0.000001,1,IF(Q4&lt;0.00001,2,IF(Q4&lt;0.0001,3,IF(Q4&lt;0.001,4,5))))</f>
        <v>1</v>
      </c>
      <c r="S4" s="21" t="str">
        <f t="shared" ref="S4:S13" si="5">INDEX(MatrizAceptabilidad,MATCH(R4,NivelesP,0),MATCH(E4,NivelesS,0))</f>
        <v>ALARP</v>
      </c>
    </row>
    <row r="5" spans="1:19" x14ac:dyDescent="0.25">
      <c r="A5" s="17" t="s">
        <v>77</v>
      </c>
      <c r="B5" s="18" t="s">
        <v>76</v>
      </c>
      <c r="C5" s="18" t="s">
        <v>135</v>
      </c>
      <c r="D5" s="18" t="s">
        <v>136</v>
      </c>
      <c r="E5" s="17">
        <v>4</v>
      </c>
      <c r="F5" s="18" t="s">
        <v>137</v>
      </c>
      <c r="G5" s="19">
        <v>2.7599999999999999E-3</v>
      </c>
      <c r="H5" s="18" t="s">
        <v>138</v>
      </c>
      <c r="I5" s="18">
        <v>6.0000000000000001E-3</v>
      </c>
      <c r="J5" s="18">
        <v>0.57499999999999996</v>
      </c>
      <c r="K5" s="20">
        <f t="shared" si="0"/>
        <v>9.5219999999999996E-6</v>
      </c>
      <c r="L5" s="21">
        <f t="shared" si="1"/>
        <v>2</v>
      </c>
      <c r="M5" s="21" t="str">
        <f t="shared" si="2"/>
        <v>ALARP</v>
      </c>
      <c r="Q5" s="20">
        <f t="shared" si="3"/>
        <v>0</v>
      </c>
      <c r="R5" s="21">
        <f t="shared" si="4"/>
        <v>1</v>
      </c>
      <c r="S5" s="21" t="str">
        <f t="shared" si="5"/>
        <v>✅</v>
      </c>
    </row>
    <row r="6" spans="1:19" x14ac:dyDescent="0.25">
      <c r="A6" s="17" t="s">
        <v>84</v>
      </c>
      <c r="B6" s="18" t="s">
        <v>87</v>
      </c>
      <c r="C6" s="18" t="s">
        <v>139</v>
      </c>
      <c r="D6" s="18" t="s">
        <v>140</v>
      </c>
      <c r="E6" s="17">
        <v>5</v>
      </c>
      <c r="F6" s="18" t="s">
        <v>141</v>
      </c>
      <c r="G6" s="19">
        <v>0.15</v>
      </c>
      <c r="H6" s="18" t="s">
        <v>142</v>
      </c>
      <c r="I6" s="18">
        <v>1.7999999999999999E-2</v>
      </c>
      <c r="J6" s="18">
        <v>2.5000000000000001E-2</v>
      </c>
      <c r="K6" s="20">
        <f t="shared" si="0"/>
        <v>6.7500000000000001E-5</v>
      </c>
      <c r="L6" s="21">
        <f t="shared" si="1"/>
        <v>3</v>
      </c>
      <c r="M6" s="21" t="str">
        <f t="shared" si="2"/>
        <v>❌</v>
      </c>
      <c r="Q6" s="20">
        <f t="shared" si="3"/>
        <v>0</v>
      </c>
      <c r="R6" s="21">
        <f t="shared" si="4"/>
        <v>1</v>
      </c>
      <c r="S6" s="21" t="str">
        <f t="shared" si="5"/>
        <v>ALARP</v>
      </c>
    </row>
    <row r="7" spans="1:19" x14ac:dyDescent="0.25">
      <c r="A7" s="17" t="s">
        <v>91</v>
      </c>
      <c r="B7" s="18" t="s">
        <v>83</v>
      </c>
      <c r="C7" s="18" t="s">
        <v>92</v>
      </c>
      <c r="D7" s="18" t="s">
        <v>132</v>
      </c>
      <c r="E7" s="17">
        <v>5</v>
      </c>
      <c r="F7" s="18" t="s">
        <v>133</v>
      </c>
      <c r="G7" s="19">
        <v>1E-10</v>
      </c>
      <c r="H7" s="18" t="s">
        <v>143</v>
      </c>
      <c r="I7" s="18">
        <v>0.03</v>
      </c>
      <c r="J7" s="18">
        <v>0.85</v>
      </c>
      <c r="K7" s="20">
        <f t="shared" si="0"/>
        <v>2.5500000000000002E-12</v>
      </c>
      <c r="L7" s="21">
        <f t="shared" si="1"/>
        <v>1</v>
      </c>
      <c r="M7" s="21" t="str">
        <f t="shared" si="2"/>
        <v>ALARP</v>
      </c>
      <c r="Q7" s="20">
        <f t="shared" si="3"/>
        <v>0</v>
      </c>
      <c r="R7" s="21">
        <f t="shared" si="4"/>
        <v>1</v>
      </c>
      <c r="S7" s="21" t="str">
        <f t="shared" si="5"/>
        <v>ALARP</v>
      </c>
    </row>
    <row r="8" spans="1:19" x14ac:dyDescent="0.25">
      <c r="A8" s="17" t="s">
        <v>94</v>
      </c>
      <c r="B8" s="18" t="s">
        <v>76</v>
      </c>
      <c r="C8" s="18" t="s">
        <v>144</v>
      </c>
      <c r="D8" s="18" t="s">
        <v>145</v>
      </c>
      <c r="E8" s="17">
        <v>4</v>
      </c>
      <c r="F8" s="18" t="s">
        <v>137</v>
      </c>
      <c r="G8" s="19">
        <v>5.5000000000000003E-4</v>
      </c>
      <c r="H8" s="18" t="s">
        <v>146</v>
      </c>
      <c r="I8" s="18">
        <v>0.01</v>
      </c>
      <c r="J8" s="18">
        <v>0.8</v>
      </c>
      <c r="K8" s="20">
        <f t="shared" si="0"/>
        <v>4.4000000000000011E-6</v>
      </c>
      <c r="L8" s="21">
        <f t="shared" si="1"/>
        <v>2</v>
      </c>
      <c r="M8" s="21" t="str">
        <f t="shared" si="2"/>
        <v>ALARP</v>
      </c>
      <c r="Q8" s="20">
        <f t="shared" si="3"/>
        <v>0</v>
      </c>
      <c r="R8" s="21">
        <f t="shared" si="4"/>
        <v>1</v>
      </c>
      <c r="S8" s="21" t="str">
        <f t="shared" si="5"/>
        <v>✅</v>
      </c>
    </row>
    <row r="9" spans="1:19" x14ac:dyDescent="0.25">
      <c r="A9" s="17" t="s">
        <v>100</v>
      </c>
      <c r="B9" s="18" t="s">
        <v>76</v>
      </c>
      <c r="C9" s="18" t="s">
        <v>147</v>
      </c>
      <c r="D9" s="18" t="s">
        <v>148</v>
      </c>
      <c r="E9" s="17">
        <v>5</v>
      </c>
      <c r="F9" s="18" t="s">
        <v>137</v>
      </c>
      <c r="G9" s="19">
        <v>1E-3</v>
      </c>
      <c r="H9" s="18" t="s">
        <v>149</v>
      </c>
      <c r="I9" s="18">
        <v>0.05</v>
      </c>
      <c r="J9" s="18">
        <v>0.95</v>
      </c>
      <c r="K9" s="20">
        <f t="shared" si="0"/>
        <v>4.7500000000000003E-5</v>
      </c>
      <c r="L9" s="21">
        <f t="shared" si="1"/>
        <v>3</v>
      </c>
      <c r="M9" s="21" t="str">
        <f t="shared" si="2"/>
        <v>❌</v>
      </c>
      <c r="Q9" s="20">
        <f t="shared" si="3"/>
        <v>0</v>
      </c>
      <c r="R9" s="21">
        <f t="shared" si="4"/>
        <v>1</v>
      </c>
      <c r="S9" s="21" t="str">
        <f t="shared" si="5"/>
        <v>ALARP</v>
      </c>
    </row>
    <row r="10" spans="1:19" x14ac:dyDescent="0.25">
      <c r="A10" s="17" t="s">
        <v>106</v>
      </c>
      <c r="B10" s="18" t="s">
        <v>83</v>
      </c>
      <c r="C10" s="18" t="s">
        <v>150</v>
      </c>
      <c r="D10" s="18" t="s">
        <v>151</v>
      </c>
      <c r="E10" s="17">
        <v>4</v>
      </c>
      <c r="F10" s="18" t="s">
        <v>133</v>
      </c>
      <c r="G10" s="19">
        <v>4.9999999999999998E-8</v>
      </c>
      <c r="H10" s="18" t="s">
        <v>152</v>
      </c>
      <c r="I10" s="18">
        <v>0.1</v>
      </c>
      <c r="J10" s="18">
        <v>0.7</v>
      </c>
      <c r="K10" s="20">
        <f t="shared" si="0"/>
        <v>3.4999999999999999E-9</v>
      </c>
      <c r="L10" s="21">
        <f t="shared" si="1"/>
        <v>1</v>
      </c>
      <c r="M10" s="21" t="str">
        <f t="shared" si="2"/>
        <v>✅</v>
      </c>
      <c r="Q10" s="20">
        <f t="shared" si="3"/>
        <v>0</v>
      </c>
      <c r="R10" s="21">
        <f t="shared" si="4"/>
        <v>1</v>
      </c>
      <c r="S10" s="21" t="str">
        <f t="shared" si="5"/>
        <v>✅</v>
      </c>
    </row>
    <row r="11" spans="1:19" x14ac:dyDescent="0.25">
      <c r="A11" s="17" t="s">
        <v>109</v>
      </c>
      <c r="B11" s="18" t="s">
        <v>76</v>
      </c>
      <c r="C11" s="18" t="s">
        <v>153</v>
      </c>
      <c r="D11" s="18" t="s">
        <v>154</v>
      </c>
      <c r="E11" s="17">
        <v>5</v>
      </c>
      <c r="F11" s="18" t="s">
        <v>137</v>
      </c>
      <c r="G11" s="19">
        <v>2.9999999999999997E-4</v>
      </c>
      <c r="H11" s="18" t="s">
        <v>155</v>
      </c>
      <c r="I11" s="18">
        <v>8.0000000000000002E-3</v>
      </c>
      <c r="J11" s="18">
        <v>0.9</v>
      </c>
      <c r="K11" s="20">
        <f t="shared" si="0"/>
        <v>2.1600000000000001E-6</v>
      </c>
      <c r="L11" s="21">
        <f t="shared" si="1"/>
        <v>2</v>
      </c>
      <c r="M11" s="21" t="str">
        <f t="shared" si="2"/>
        <v>ALARP</v>
      </c>
      <c r="Q11" s="20">
        <f t="shared" si="3"/>
        <v>0</v>
      </c>
      <c r="R11" s="21">
        <f t="shared" si="4"/>
        <v>1</v>
      </c>
      <c r="S11" s="21" t="str">
        <f t="shared" si="5"/>
        <v>ALARP</v>
      </c>
    </row>
    <row r="12" spans="1:19" x14ac:dyDescent="0.25">
      <c r="A12" s="17" t="s">
        <v>97</v>
      </c>
      <c r="B12" s="18" t="s">
        <v>87</v>
      </c>
      <c r="C12" s="18" t="s">
        <v>156</v>
      </c>
      <c r="D12" s="18" t="s">
        <v>157</v>
      </c>
      <c r="E12" s="17">
        <v>3</v>
      </c>
      <c r="F12" s="18" t="s">
        <v>141</v>
      </c>
      <c r="G12" s="19">
        <v>0.1</v>
      </c>
      <c r="H12" s="18" t="s">
        <v>158</v>
      </c>
      <c r="I12" s="18">
        <v>0.05</v>
      </c>
      <c r="J12" s="18">
        <v>0.4</v>
      </c>
      <c r="K12" s="20">
        <f t="shared" si="0"/>
        <v>2.0000000000000005E-3</v>
      </c>
      <c r="L12" s="21">
        <f t="shared" si="1"/>
        <v>5</v>
      </c>
      <c r="M12" s="21" t="str">
        <f t="shared" si="2"/>
        <v>❌</v>
      </c>
      <c r="Q12" s="20">
        <f t="shared" si="3"/>
        <v>0</v>
      </c>
      <c r="R12" s="21">
        <f t="shared" si="4"/>
        <v>1</v>
      </c>
      <c r="S12" s="21" t="str">
        <f t="shared" si="5"/>
        <v>✅</v>
      </c>
    </row>
    <row r="13" spans="1:19" x14ac:dyDescent="0.25">
      <c r="A13" s="17" t="s">
        <v>112</v>
      </c>
      <c r="B13" s="18" t="s">
        <v>87</v>
      </c>
      <c r="C13" s="18" t="s">
        <v>159</v>
      </c>
      <c r="D13" s="18" t="s">
        <v>160</v>
      </c>
      <c r="E13" s="17">
        <v>3</v>
      </c>
      <c r="F13" s="18" t="s">
        <v>141</v>
      </c>
      <c r="G13" s="19">
        <v>0.08</v>
      </c>
      <c r="H13" s="18" t="s">
        <v>161</v>
      </c>
      <c r="I13" s="18">
        <v>0.02</v>
      </c>
      <c r="J13" s="18">
        <v>0.3</v>
      </c>
      <c r="K13" s="20">
        <f t="shared" si="0"/>
        <v>4.8000000000000001E-4</v>
      </c>
      <c r="L13" s="21">
        <f t="shared" si="1"/>
        <v>4</v>
      </c>
      <c r="M13" s="21" t="str">
        <f t="shared" si="2"/>
        <v>ALARP</v>
      </c>
      <c r="Q13" s="20">
        <f t="shared" si="3"/>
        <v>0</v>
      </c>
      <c r="R13" s="21">
        <f t="shared" si="4"/>
        <v>1</v>
      </c>
      <c r="S13" s="21" t="str">
        <f t="shared" si="5"/>
        <v>✅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"/>
  <sheetViews>
    <sheetView workbookViewId="0">
      <selection activeCell="F18" sqref="F18"/>
    </sheetView>
  </sheetViews>
  <sheetFormatPr defaultColWidth="9.140625" defaultRowHeight="15" x14ac:dyDescent="0.25"/>
  <cols>
    <col min="1" max="18" width="12" customWidth="1"/>
  </cols>
  <sheetData>
    <row r="1" spans="1:18" ht="18" customHeight="1" x14ac:dyDescent="0.25">
      <c r="A1" s="37" t="s">
        <v>162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x14ac:dyDescent="0.25">
      <c r="A2" s="36" t="s">
        <v>163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24" customHeight="1" x14ac:dyDescent="0.25">
      <c r="A3" s="16" t="s">
        <v>60</v>
      </c>
      <c r="B3" s="16" t="s">
        <v>164</v>
      </c>
      <c r="C3" s="16" t="s">
        <v>165</v>
      </c>
      <c r="D3" s="16" t="s">
        <v>54</v>
      </c>
      <c r="E3" s="16" t="s">
        <v>120</v>
      </c>
      <c r="F3" s="16" t="s">
        <v>33</v>
      </c>
      <c r="G3" s="16" t="s">
        <v>166</v>
      </c>
      <c r="H3" s="16" t="s">
        <v>37</v>
      </c>
      <c r="I3" s="16" t="s">
        <v>41</v>
      </c>
      <c r="J3" s="16" t="s">
        <v>122</v>
      </c>
      <c r="K3" s="16" t="s">
        <v>123</v>
      </c>
      <c r="L3" s="16" t="s">
        <v>124</v>
      </c>
      <c r="M3" s="16" t="s">
        <v>125</v>
      </c>
      <c r="N3" s="16" t="s">
        <v>126</v>
      </c>
      <c r="O3" s="16" t="s">
        <v>127</v>
      </c>
      <c r="P3" s="16" t="s">
        <v>128</v>
      </c>
      <c r="Q3" s="16" t="s">
        <v>129</v>
      </c>
      <c r="R3" s="16" t="s">
        <v>130</v>
      </c>
    </row>
    <row r="4" spans="1:18" x14ac:dyDescent="0.25">
      <c r="A4" s="17" t="s">
        <v>69</v>
      </c>
      <c r="B4" s="18" t="s">
        <v>167</v>
      </c>
      <c r="C4" s="18" t="s">
        <v>168</v>
      </c>
      <c r="D4" s="17">
        <v>5</v>
      </c>
      <c r="E4" s="18" t="s">
        <v>169</v>
      </c>
      <c r="F4" s="18">
        <v>0.2</v>
      </c>
      <c r="G4" s="18" t="s">
        <v>170</v>
      </c>
      <c r="H4" s="18">
        <v>1.2E-2</v>
      </c>
      <c r="I4" s="18">
        <v>0.42499999999999999</v>
      </c>
      <c r="J4" s="20">
        <f t="shared" ref="J4:J10" si="0">F4*H4*I4</f>
        <v>1.0200000000000001E-3</v>
      </c>
      <c r="K4" s="21">
        <f t="shared" ref="K4:K10" si="1">IF(J4&lt;0.000001,1,IF(J4&lt;0.00001,2,IF(J4&lt;0.0001,3,IF(J4&lt;0.001,4,5))))</f>
        <v>5</v>
      </c>
      <c r="L4" s="21" t="str">
        <f t="shared" ref="L4:L10" si="2">INDEX(MatrizAceptabilidad,MATCH(K4,NivelesP,0),MATCH(D4,NivelesS,0))</f>
        <v>❌</v>
      </c>
      <c r="P4" s="20">
        <f t="shared" ref="P4:P10" si="3">F4*N4*O4</f>
        <v>0</v>
      </c>
      <c r="Q4" s="21">
        <f t="shared" ref="Q4:Q10" si="4">IF(P4&lt;0.000001,1,IF(P4&lt;0.00001,2,IF(P4&lt;0.0001,3,IF(P4&lt;0.001,4,5))))</f>
        <v>1</v>
      </c>
      <c r="R4" s="21" t="str">
        <f t="shared" ref="R4:R10" si="5">INDEX(MatrizAceptabilidad,MATCH(Q4,NivelesP,0),MATCH(D4,NivelesS,0))</f>
        <v>ALARP</v>
      </c>
    </row>
    <row r="5" spans="1:18" x14ac:dyDescent="0.25">
      <c r="A5" s="17" t="s">
        <v>88</v>
      </c>
      <c r="B5" s="18" t="s">
        <v>171</v>
      </c>
      <c r="C5" s="18" t="s">
        <v>172</v>
      </c>
      <c r="D5" s="17">
        <v>4</v>
      </c>
      <c r="E5" s="18" t="s">
        <v>169</v>
      </c>
      <c r="F5" s="18">
        <v>0.05</v>
      </c>
      <c r="G5" s="18" t="s">
        <v>173</v>
      </c>
      <c r="H5" s="18">
        <v>0.01</v>
      </c>
      <c r="I5" s="18">
        <v>0.3</v>
      </c>
      <c r="J5" s="20">
        <f t="shared" si="0"/>
        <v>1.4999999999999999E-4</v>
      </c>
      <c r="K5" s="21">
        <f t="shared" si="1"/>
        <v>4</v>
      </c>
      <c r="L5" s="21" t="str">
        <f t="shared" si="2"/>
        <v>❌</v>
      </c>
      <c r="P5" s="20">
        <f t="shared" si="3"/>
        <v>0</v>
      </c>
      <c r="Q5" s="21">
        <f t="shared" si="4"/>
        <v>1</v>
      </c>
      <c r="R5" s="21" t="str">
        <f t="shared" si="5"/>
        <v>✅</v>
      </c>
    </row>
    <row r="6" spans="1:18" x14ac:dyDescent="0.25">
      <c r="A6" s="17" t="s">
        <v>103</v>
      </c>
      <c r="B6" s="18" t="s">
        <v>174</v>
      </c>
      <c r="C6" s="18" t="s">
        <v>175</v>
      </c>
      <c r="D6" s="17">
        <v>4</v>
      </c>
      <c r="E6" s="18" t="s">
        <v>169</v>
      </c>
      <c r="F6" s="18">
        <v>0.15</v>
      </c>
      <c r="G6" s="18" t="s">
        <v>176</v>
      </c>
      <c r="H6" s="18">
        <v>0.02</v>
      </c>
      <c r="I6" s="18">
        <v>0.5</v>
      </c>
      <c r="J6" s="20">
        <f t="shared" si="0"/>
        <v>1.5E-3</v>
      </c>
      <c r="K6" s="21">
        <f t="shared" si="1"/>
        <v>5</v>
      </c>
      <c r="L6" s="21" t="str">
        <f t="shared" si="2"/>
        <v>❌</v>
      </c>
      <c r="P6" s="20">
        <f t="shared" si="3"/>
        <v>0</v>
      </c>
      <c r="Q6" s="21">
        <f t="shared" si="4"/>
        <v>1</v>
      </c>
      <c r="R6" s="21" t="str">
        <f t="shared" si="5"/>
        <v>✅</v>
      </c>
    </row>
    <row r="7" spans="1:18" x14ac:dyDescent="0.25">
      <c r="A7" s="17" t="s">
        <v>80</v>
      </c>
      <c r="B7" s="18" t="s">
        <v>177</v>
      </c>
      <c r="C7" s="18" t="s">
        <v>178</v>
      </c>
      <c r="D7" s="17">
        <v>4</v>
      </c>
      <c r="E7" s="18" t="s">
        <v>169</v>
      </c>
      <c r="F7" s="18">
        <v>0.1</v>
      </c>
      <c r="G7" s="18" t="s">
        <v>179</v>
      </c>
      <c r="H7" s="18">
        <v>0.03</v>
      </c>
      <c r="I7" s="18">
        <v>0.7</v>
      </c>
      <c r="J7" s="20">
        <f t="shared" si="0"/>
        <v>2.0999999999999999E-3</v>
      </c>
      <c r="K7" s="21">
        <f t="shared" si="1"/>
        <v>5</v>
      </c>
      <c r="L7" s="21" t="str">
        <f t="shared" si="2"/>
        <v>❌</v>
      </c>
      <c r="P7" s="20">
        <f t="shared" si="3"/>
        <v>0</v>
      </c>
      <c r="Q7" s="21">
        <f t="shared" si="4"/>
        <v>1</v>
      </c>
      <c r="R7" s="21" t="str">
        <f t="shared" si="5"/>
        <v>✅</v>
      </c>
    </row>
    <row r="8" spans="1:18" x14ac:dyDescent="0.25">
      <c r="A8" s="17" t="s">
        <v>73</v>
      </c>
      <c r="B8" s="18" t="s">
        <v>180</v>
      </c>
      <c r="C8" s="18" t="s">
        <v>181</v>
      </c>
      <c r="D8" s="17">
        <v>3</v>
      </c>
      <c r="E8" s="18" t="s">
        <v>169</v>
      </c>
      <c r="F8" s="18">
        <v>0.08</v>
      </c>
      <c r="G8" s="18" t="s">
        <v>182</v>
      </c>
      <c r="H8" s="18">
        <v>1.4999999999999999E-2</v>
      </c>
      <c r="I8" s="18">
        <v>0.4</v>
      </c>
      <c r="J8" s="20">
        <f t="shared" si="0"/>
        <v>4.7999999999999996E-4</v>
      </c>
      <c r="K8" s="21">
        <f t="shared" si="1"/>
        <v>4</v>
      </c>
      <c r="L8" s="21" t="str">
        <f t="shared" si="2"/>
        <v>ALARP</v>
      </c>
      <c r="P8" s="20">
        <f t="shared" si="3"/>
        <v>0</v>
      </c>
      <c r="Q8" s="21">
        <f t="shared" si="4"/>
        <v>1</v>
      </c>
      <c r="R8" s="21" t="str">
        <f t="shared" si="5"/>
        <v>✅</v>
      </c>
    </row>
    <row r="9" spans="1:18" x14ac:dyDescent="0.25">
      <c r="A9" s="17" t="s">
        <v>91</v>
      </c>
      <c r="B9" s="18" t="s">
        <v>183</v>
      </c>
      <c r="C9" s="18" t="s">
        <v>184</v>
      </c>
      <c r="D9" s="17">
        <v>5</v>
      </c>
      <c r="E9" s="18" t="s">
        <v>169</v>
      </c>
      <c r="F9" s="18">
        <v>0.12</v>
      </c>
      <c r="G9" s="18" t="s">
        <v>185</v>
      </c>
      <c r="H9" s="18">
        <v>0.02</v>
      </c>
      <c r="I9" s="18">
        <v>0.8</v>
      </c>
      <c r="J9" s="20">
        <f t="shared" si="0"/>
        <v>1.9199999999999998E-3</v>
      </c>
      <c r="K9" s="21">
        <f t="shared" si="1"/>
        <v>5</v>
      </c>
      <c r="L9" s="21" t="str">
        <f t="shared" si="2"/>
        <v>❌</v>
      </c>
      <c r="P9" s="20">
        <f t="shared" si="3"/>
        <v>0</v>
      </c>
      <c r="Q9" s="21">
        <f t="shared" si="4"/>
        <v>1</v>
      </c>
      <c r="R9" s="21" t="str">
        <f t="shared" si="5"/>
        <v>ALARP</v>
      </c>
    </row>
    <row r="10" spans="1:18" x14ac:dyDescent="0.25">
      <c r="A10" s="17" t="s">
        <v>109</v>
      </c>
      <c r="B10" s="18" t="s">
        <v>186</v>
      </c>
      <c r="C10" s="18" t="s">
        <v>187</v>
      </c>
      <c r="D10" s="17">
        <v>4</v>
      </c>
      <c r="E10" s="18" t="s">
        <v>169</v>
      </c>
      <c r="F10" s="18">
        <v>0.25</v>
      </c>
      <c r="G10" s="18" t="s">
        <v>188</v>
      </c>
      <c r="H10" s="18">
        <v>8.0000000000000002E-3</v>
      </c>
      <c r="I10" s="18">
        <v>0.6</v>
      </c>
      <c r="J10" s="20">
        <f t="shared" si="0"/>
        <v>1.1999999999999999E-3</v>
      </c>
      <c r="K10" s="21">
        <f t="shared" si="1"/>
        <v>5</v>
      </c>
      <c r="L10" s="21" t="str">
        <f t="shared" si="2"/>
        <v>❌</v>
      </c>
      <c r="P10" s="20">
        <f t="shared" si="3"/>
        <v>0</v>
      </c>
      <c r="Q10" s="21">
        <f t="shared" si="4"/>
        <v>1</v>
      </c>
      <c r="R10" s="21" t="str">
        <f t="shared" si="5"/>
        <v>✅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selection sqref="A1:H1"/>
    </sheetView>
  </sheetViews>
  <sheetFormatPr defaultColWidth="9.140625" defaultRowHeight="15" x14ac:dyDescent="0.25"/>
  <cols>
    <col min="1" max="1" width="14" customWidth="1"/>
    <col min="2" max="2" width="19" bestFit="1" customWidth="1"/>
    <col min="3" max="8" width="14" customWidth="1"/>
  </cols>
  <sheetData>
    <row r="1" spans="1:8" ht="18" customHeight="1" x14ac:dyDescent="0.25">
      <c r="A1" s="37" t="s">
        <v>189</v>
      </c>
      <c r="B1" s="30"/>
      <c r="C1" s="30"/>
      <c r="D1" s="30"/>
      <c r="E1" s="30"/>
      <c r="F1" s="30"/>
      <c r="G1" s="30"/>
      <c r="H1" s="30"/>
    </row>
    <row r="2" spans="1:8" x14ac:dyDescent="0.25">
      <c r="A2" s="36" t="s">
        <v>190</v>
      </c>
      <c r="B2" s="30"/>
      <c r="C2" s="30"/>
      <c r="D2" s="30"/>
      <c r="E2" s="30"/>
      <c r="F2" s="30"/>
      <c r="G2" s="30"/>
      <c r="H2" s="30"/>
    </row>
    <row r="3" spans="1:8" x14ac:dyDescent="0.25">
      <c r="A3" s="12" t="s">
        <v>60</v>
      </c>
      <c r="B3" s="12" t="s">
        <v>117</v>
      </c>
      <c r="C3" s="12" t="s">
        <v>191</v>
      </c>
      <c r="D3" s="12" t="s">
        <v>54</v>
      </c>
      <c r="E3" s="12" t="s">
        <v>192</v>
      </c>
      <c r="F3" s="12" t="s">
        <v>193</v>
      </c>
      <c r="G3" s="12" t="s">
        <v>194</v>
      </c>
      <c r="H3" s="12" t="s">
        <v>195</v>
      </c>
    </row>
    <row r="4" spans="1:8" x14ac:dyDescent="0.25">
      <c r="A4" s="22" t="s">
        <v>65</v>
      </c>
      <c r="B4" s="21" t="str">
        <f>VLOOKUP(A4,'02_dFMEA'!$A:$S,2,FALSE)</f>
        <v>Mecánico</v>
      </c>
      <c r="C4" s="21" t="str">
        <f>VLOOKUP(A4,'02_dFMEA'!$A:$S,4,FALSE)</f>
        <v>Flujo libre</v>
      </c>
      <c r="D4" s="21">
        <f>VLOOKUP(A4,'02_dFMEA'!$A:$S,5,FALSE)</f>
        <v>5</v>
      </c>
      <c r="E4" s="21">
        <f>VLOOKUP(A4,'02_dFMEA'!$A:$S,12,FALSE)</f>
        <v>1</v>
      </c>
      <c r="F4" s="21" t="str">
        <f>VLOOKUP(A4,'02_dFMEA'!$A:$S,13,FALSE)</f>
        <v>ALARP</v>
      </c>
      <c r="G4" s="21">
        <f>VLOOKUP(A4,'02_dFMEA'!$A:$S,18,FALSE)</f>
        <v>1</v>
      </c>
      <c r="H4" s="21" t="str">
        <f>VLOOKUP(A4,'02_dFMEA'!$A:$S,19,FALSE)</f>
        <v>ALARP</v>
      </c>
    </row>
    <row r="5" spans="1:8" x14ac:dyDescent="0.25">
      <c r="A5" s="22" t="s">
        <v>77</v>
      </c>
      <c r="B5" s="21" t="str">
        <f>VLOOKUP(A5,'02_dFMEA'!$A:$S,2,FALSE)</f>
        <v>Electrónico</v>
      </c>
      <c r="C5" s="21" t="str">
        <f>VLOOKUP(A5,'02_dFMEA'!$A:$S,4,FALSE)</f>
        <v>Pérdida potencia</v>
      </c>
      <c r="D5" s="21">
        <f>VLOOKUP(A5,'02_dFMEA'!$A:$S,5,FALSE)</f>
        <v>4</v>
      </c>
      <c r="E5" s="21">
        <f>VLOOKUP(A5,'02_dFMEA'!$A:$S,12,FALSE)</f>
        <v>2</v>
      </c>
      <c r="F5" s="21" t="str">
        <f>VLOOKUP(A5,'02_dFMEA'!$A:$S,13,FALSE)</f>
        <v>ALARP</v>
      </c>
      <c r="G5" s="21">
        <f>VLOOKUP(A5,'02_dFMEA'!$A:$S,18,FALSE)</f>
        <v>1</v>
      </c>
      <c r="H5" s="21" t="str">
        <f>VLOOKUP(A5,'02_dFMEA'!$A:$S,19,FALSE)</f>
        <v>✅</v>
      </c>
    </row>
    <row r="6" spans="1:8" x14ac:dyDescent="0.25">
      <c r="A6" s="22" t="s">
        <v>84</v>
      </c>
      <c r="B6" s="21" t="str">
        <f>VLOOKUP(A6,'02_dFMEA'!$A:$S,2,FALSE)</f>
        <v>Software</v>
      </c>
      <c r="C6" s="21" t="str">
        <f>VLOOKUP(A6,'02_dFMEA'!$A:$S,4,FALSE)</f>
        <v>Caudal incorrecto</v>
      </c>
      <c r="D6" s="21">
        <f>VLOOKUP(A6,'02_dFMEA'!$A:$S,5,FALSE)</f>
        <v>5</v>
      </c>
      <c r="E6" s="21">
        <f>VLOOKUP(A6,'02_dFMEA'!$A:$S,12,FALSE)</f>
        <v>3</v>
      </c>
      <c r="F6" s="21" t="str">
        <f>VLOOKUP(A6,'02_dFMEA'!$A:$S,13,FALSE)</f>
        <v>❌</v>
      </c>
      <c r="G6" s="21">
        <f>VLOOKUP(A6,'02_dFMEA'!$A:$S,18,FALSE)</f>
        <v>1</v>
      </c>
      <c r="H6" s="21" t="str">
        <f>VLOOKUP(A6,'02_dFMEA'!$A:$S,19,FALSE)</f>
        <v>ALARP</v>
      </c>
    </row>
    <row r="7" spans="1:8" x14ac:dyDescent="0.25">
      <c r="A7" s="22" t="s">
        <v>91</v>
      </c>
      <c r="B7" s="21" t="str">
        <f>VLOOKUP(A7,'02_dFMEA'!$A:$S,2,FALSE)</f>
        <v>Mecánico</v>
      </c>
      <c r="C7" s="21" t="str">
        <f>VLOOKUP(A7,'02_dFMEA'!$A:$S,4,FALSE)</f>
        <v>Flujo libre</v>
      </c>
      <c r="D7" s="21">
        <f>VLOOKUP(A7,'02_dFMEA'!$A:$S,5,FALSE)</f>
        <v>5</v>
      </c>
      <c r="E7" s="21">
        <f>VLOOKUP(A7,'02_dFMEA'!$A:$S,12,FALSE)</f>
        <v>1</v>
      </c>
      <c r="F7" s="21" t="str">
        <f>VLOOKUP(A7,'02_dFMEA'!$A:$S,13,FALSE)</f>
        <v>ALARP</v>
      </c>
      <c r="G7" s="21">
        <f>VLOOKUP(A7,'02_dFMEA'!$A:$S,18,FALSE)</f>
        <v>1</v>
      </c>
      <c r="H7" s="21" t="str">
        <f>VLOOKUP(A7,'02_dFMEA'!$A:$S,19,FALSE)</f>
        <v>ALARP</v>
      </c>
    </row>
    <row r="8" spans="1:8" x14ac:dyDescent="0.25">
      <c r="A8" s="22" t="s">
        <v>94</v>
      </c>
      <c r="B8" s="21" t="str">
        <f>VLOOKUP(A8,'02_dFMEA'!$A:$S,2,FALSE)</f>
        <v>Electrónico</v>
      </c>
      <c r="C8" s="21" t="str">
        <f>VLOOKUP(A8,'02_dFMEA'!$A:$S,4,FALSE)</f>
        <v>Sin lectura</v>
      </c>
      <c r="D8" s="21">
        <f>VLOOKUP(A8,'02_dFMEA'!$A:$S,5,FALSE)</f>
        <v>4</v>
      </c>
      <c r="E8" s="21">
        <f>VLOOKUP(A8,'02_dFMEA'!$A:$S,12,FALSE)</f>
        <v>2</v>
      </c>
      <c r="F8" s="21" t="str">
        <f>VLOOKUP(A8,'02_dFMEA'!$A:$S,13,FALSE)</f>
        <v>ALARP</v>
      </c>
      <c r="G8" s="21">
        <f>VLOOKUP(A8,'02_dFMEA'!$A:$S,18,FALSE)</f>
        <v>1</v>
      </c>
      <c r="H8" s="21" t="str">
        <f>VLOOKUP(A8,'02_dFMEA'!$A:$S,19,FALSE)</f>
        <v>✅</v>
      </c>
    </row>
    <row r="9" spans="1:8" x14ac:dyDescent="0.25">
      <c r="A9" s="22" t="s">
        <v>100</v>
      </c>
      <c r="B9" s="21" t="str">
        <f>VLOOKUP(A9,'02_dFMEA'!$A:$S,2,FALSE)</f>
        <v>Electrónico</v>
      </c>
      <c r="C9" s="21" t="str">
        <f>VLOOKUP(A9,'02_dFMEA'!$A:$S,4,FALSE)</f>
        <v>Alarma silenciosa</v>
      </c>
      <c r="D9" s="21">
        <f>VLOOKUP(A9,'02_dFMEA'!$A:$S,5,FALSE)</f>
        <v>5</v>
      </c>
      <c r="E9" s="21">
        <f>VLOOKUP(A9,'02_dFMEA'!$A:$S,12,FALSE)</f>
        <v>3</v>
      </c>
      <c r="F9" s="21" t="str">
        <f>VLOOKUP(A9,'02_dFMEA'!$A:$S,13,FALSE)</f>
        <v>❌</v>
      </c>
      <c r="G9" s="21">
        <f>VLOOKUP(A9,'02_dFMEA'!$A:$S,18,FALSE)</f>
        <v>1</v>
      </c>
      <c r="H9" s="21" t="str">
        <f>VLOOKUP(A9,'02_dFMEA'!$A:$S,19,FALSE)</f>
        <v>ALARP</v>
      </c>
    </row>
    <row r="10" spans="1:8" x14ac:dyDescent="0.25">
      <c r="A10" s="22" t="s">
        <v>106</v>
      </c>
      <c r="B10" s="21" t="str">
        <f>VLOOKUP(A10,'02_dFMEA'!$A:$S,2,FALSE)</f>
        <v>Mecánico</v>
      </c>
      <c r="C10" s="21" t="str">
        <f>VLOOKUP(A10,'02_dFMEA'!$A:$S,4,FALSE)</f>
        <v>Desconexión</v>
      </c>
      <c r="D10" s="21">
        <f>VLOOKUP(A10,'02_dFMEA'!$A:$S,5,FALSE)</f>
        <v>4</v>
      </c>
      <c r="E10" s="21">
        <f>VLOOKUP(A10,'02_dFMEA'!$A:$S,12,FALSE)</f>
        <v>1</v>
      </c>
      <c r="F10" s="21" t="str">
        <f>VLOOKUP(A10,'02_dFMEA'!$A:$S,13,FALSE)</f>
        <v>✅</v>
      </c>
      <c r="G10" s="21">
        <f>VLOOKUP(A10,'02_dFMEA'!$A:$S,18,FALSE)</f>
        <v>1</v>
      </c>
      <c r="H10" s="21" t="str">
        <f>VLOOKUP(A10,'02_dFMEA'!$A:$S,19,FALSE)</f>
        <v>✅</v>
      </c>
    </row>
    <row r="11" spans="1:8" x14ac:dyDescent="0.25">
      <c r="A11" s="22" t="s">
        <v>109</v>
      </c>
      <c r="B11" s="21" t="str">
        <f>VLOOKUP(A11,'02_dFMEA'!$A:$S,2,FALSE)</f>
        <v>Electrónico</v>
      </c>
      <c r="C11" s="21" t="str">
        <f>VLOOKUP(A11,'02_dFMEA'!$A:$S,4,FALSE)</f>
        <v>No detecta presión</v>
      </c>
      <c r="D11" s="21">
        <f>VLOOKUP(A11,'02_dFMEA'!$A:$S,5,FALSE)</f>
        <v>5</v>
      </c>
      <c r="E11" s="21">
        <f>VLOOKUP(A11,'02_dFMEA'!$A:$S,12,FALSE)</f>
        <v>2</v>
      </c>
      <c r="F11" s="21" t="str">
        <f>VLOOKUP(A11,'02_dFMEA'!$A:$S,13,FALSE)</f>
        <v>ALARP</v>
      </c>
      <c r="G11" s="21">
        <f>VLOOKUP(A11,'02_dFMEA'!$A:$S,18,FALSE)</f>
        <v>1</v>
      </c>
      <c r="H11" s="21" t="str">
        <f>VLOOKUP(A11,'02_dFMEA'!$A:$S,19,FALSE)</f>
        <v>ALARP</v>
      </c>
    </row>
    <row r="12" spans="1:8" x14ac:dyDescent="0.25">
      <c r="A12" s="22" t="s">
        <v>97</v>
      </c>
      <c r="B12" s="21" t="str">
        <f>VLOOKUP(A12,'02_dFMEA'!$A:$S,2,FALSE)</f>
        <v>Software</v>
      </c>
      <c r="C12" s="21" t="str">
        <f>VLOOKUP(A12,'02_dFMEA'!$A:$S,4,FALSE)</f>
        <v>No responde</v>
      </c>
      <c r="D12" s="21">
        <f>VLOOKUP(A12,'02_dFMEA'!$A:$S,5,FALSE)</f>
        <v>3</v>
      </c>
      <c r="E12" s="21">
        <f>VLOOKUP(A12,'02_dFMEA'!$A:$S,12,FALSE)</f>
        <v>5</v>
      </c>
      <c r="F12" s="21" t="str">
        <f>VLOOKUP(A12,'02_dFMEA'!$A:$S,13,FALSE)</f>
        <v>❌</v>
      </c>
      <c r="G12" s="21">
        <f>VLOOKUP(A12,'02_dFMEA'!$A:$S,18,FALSE)</f>
        <v>1</v>
      </c>
      <c r="H12" s="21" t="str">
        <f>VLOOKUP(A12,'02_dFMEA'!$A:$S,19,FALSE)</f>
        <v>✅</v>
      </c>
    </row>
    <row r="13" spans="1:8" x14ac:dyDescent="0.25">
      <c r="A13" s="22" t="s">
        <v>112</v>
      </c>
      <c r="B13" s="21" t="str">
        <f>VLOOKUP(A13,'02_dFMEA'!$A:$S,2,FALSE)</f>
        <v>Software</v>
      </c>
      <c r="C13" s="21" t="str">
        <f>VLOOKUP(A13,'02_dFMEA'!$A:$S,4,FALSE)</f>
        <v>No responde serial</v>
      </c>
      <c r="D13" s="21">
        <f>VLOOKUP(A13,'02_dFMEA'!$A:$S,5,FALSE)</f>
        <v>3</v>
      </c>
      <c r="E13" s="21">
        <f>VLOOKUP(A13,'02_dFMEA'!$A:$S,12,FALSE)</f>
        <v>4</v>
      </c>
      <c r="F13" s="21" t="str">
        <f>VLOOKUP(A13,'02_dFMEA'!$A:$S,13,FALSE)</f>
        <v>ALARP</v>
      </c>
      <c r="G13" s="21">
        <f>VLOOKUP(A13,'02_dFMEA'!$A:$S,18,FALSE)</f>
        <v>1</v>
      </c>
      <c r="H13" s="21" t="str">
        <f>VLOOKUP(A13,'02_dFMEA'!$A:$S,19,FALSE)</f>
        <v>✅</v>
      </c>
    </row>
    <row r="14" spans="1:8" x14ac:dyDescent="0.25">
      <c r="A14" s="22" t="s">
        <v>69</v>
      </c>
      <c r="B14" s="21" t="str">
        <f>VLOOKUP(A14,'03_uFMEA'!$A:$R,2,FALSE)</f>
        <v>Digita 150 vs 15</v>
      </c>
      <c r="C14" s="21" t="str">
        <f>VLOOKUP(A14,'03_uFMEA'!$A:$R,2,FALSE)</f>
        <v>Digita 150 vs 15</v>
      </c>
      <c r="D14" s="21">
        <f>VLOOKUP(A14,'03_uFMEA'!$A:$R,4,FALSE)</f>
        <v>5</v>
      </c>
      <c r="E14" s="21">
        <f>VLOOKUP(A14,'03_uFMEA'!$A:$R,11,FALSE)</f>
        <v>5</v>
      </c>
      <c r="F14" s="21" t="str">
        <f>VLOOKUP(A14,'03_uFMEA'!$A:$R,12,FALSE)</f>
        <v>❌</v>
      </c>
      <c r="G14" s="21">
        <f>VLOOKUP(A14,'03_uFMEA'!$A:$R,17,FALSE)</f>
        <v>1</v>
      </c>
      <c r="H14" s="21" t="str">
        <f>VLOOKUP(A14,'03_uFMEA'!$A:$R,18,FALSE)</f>
        <v>ALARP</v>
      </c>
    </row>
    <row r="15" spans="1:8" x14ac:dyDescent="0.25">
      <c r="A15" s="22" t="s">
        <v>88</v>
      </c>
      <c r="B15" s="21" t="str">
        <f>VLOOKUP(A15,'03_uFMEA'!$A:$R,2,FALSE)</f>
        <v>Olvida calibrar</v>
      </c>
      <c r="C15" s="21" t="str">
        <f>VLOOKUP(A15,'03_uFMEA'!$A:$R,2,FALSE)</f>
        <v>Olvida calibrar</v>
      </c>
      <c r="D15" s="21">
        <f>VLOOKUP(A15,'03_uFMEA'!$A:$R,4,FALSE)</f>
        <v>4</v>
      </c>
      <c r="E15" s="21">
        <f>VLOOKUP(A15,'03_uFMEA'!$A:$R,11,FALSE)</f>
        <v>4</v>
      </c>
      <c r="F15" s="21" t="str">
        <f>VLOOKUP(A15,'03_uFMEA'!$A:$R,12,FALSE)</f>
        <v>❌</v>
      </c>
      <c r="G15" s="21">
        <f>VLOOKUP(A15,'03_uFMEA'!$A:$R,17,FALSE)</f>
        <v>1</v>
      </c>
      <c r="H15" s="21" t="str">
        <f>VLOOKUP(A15,'03_uFMEA'!$A:$R,18,FALSE)</f>
        <v>✅</v>
      </c>
    </row>
    <row r="16" spans="1:8" x14ac:dyDescent="0.25">
      <c r="A16" s="22" t="s">
        <v>103</v>
      </c>
      <c r="B16" s="21" t="str">
        <f>VLOOKUP(A16,'03_uFMEA'!$A:$R,2,FALSE)</f>
        <v>Confunde botones</v>
      </c>
      <c r="C16" s="21" t="str">
        <f>VLOOKUP(A16,'03_uFMEA'!$A:$R,2,FALSE)</f>
        <v>Confunde botones</v>
      </c>
      <c r="D16" s="21">
        <f>VLOOKUP(A16,'03_uFMEA'!$A:$R,4,FALSE)</f>
        <v>4</v>
      </c>
      <c r="E16" s="21">
        <f>VLOOKUP(A16,'03_uFMEA'!$A:$R,11,FALSE)</f>
        <v>5</v>
      </c>
      <c r="F16" s="21" t="str">
        <f>VLOOKUP(A16,'03_uFMEA'!$A:$R,12,FALSE)</f>
        <v>❌</v>
      </c>
      <c r="G16" s="21">
        <f>VLOOKUP(A16,'03_uFMEA'!$A:$R,17,FALSE)</f>
        <v>1</v>
      </c>
      <c r="H16" s="21" t="str">
        <f>VLOOKUP(A16,'03_uFMEA'!$A:$R,18,FALSE)</f>
        <v>✅</v>
      </c>
    </row>
    <row r="17" spans="1:8" x14ac:dyDescent="0.25">
      <c r="A17" s="22" t="s">
        <v>80</v>
      </c>
      <c r="B17" s="21" t="str">
        <f>VLOOKUP(A17,'03_uFMEA'!$A:$R,2,FALSE)</f>
        <v>No detecta alarma</v>
      </c>
      <c r="C17" s="21" t="str">
        <f>VLOOKUP(A17,'03_uFMEA'!$A:$R,2,FALSE)</f>
        <v>No detecta alarma</v>
      </c>
      <c r="D17" s="21">
        <f>VLOOKUP(A17,'03_uFMEA'!$A:$R,4,FALSE)</f>
        <v>4</v>
      </c>
      <c r="E17" s="21">
        <f>VLOOKUP(A17,'03_uFMEA'!$A:$R,11,FALSE)</f>
        <v>5</v>
      </c>
      <c r="F17" s="21" t="str">
        <f>VLOOKUP(A17,'03_uFMEA'!$A:$R,12,FALSE)</f>
        <v>❌</v>
      </c>
      <c r="G17" s="21">
        <f>VLOOKUP(A17,'03_uFMEA'!$A:$R,17,FALSE)</f>
        <v>1</v>
      </c>
      <c r="H17" s="21" t="str">
        <f>VLOOKUP(A17,'03_uFMEA'!$A:$R,18,FALSE)</f>
        <v>✅</v>
      </c>
    </row>
    <row r="18" spans="1:8" x14ac:dyDescent="0.25">
      <c r="A18" s="22" t="s">
        <v>73</v>
      </c>
      <c r="B18" s="21" t="str">
        <f>VLOOKUP(A18,'03_uFMEA'!$A:$R,2,FALSE)</f>
        <v>No conecta cable</v>
      </c>
      <c r="C18" s="21" t="str">
        <f>VLOOKUP(A18,'03_uFMEA'!$A:$R,2,FALSE)</f>
        <v>No conecta cable</v>
      </c>
      <c r="D18" s="21">
        <f>VLOOKUP(A18,'03_uFMEA'!$A:$R,4,FALSE)</f>
        <v>3</v>
      </c>
      <c r="E18" s="21">
        <f>VLOOKUP(A18,'03_uFMEA'!$A:$R,11,FALSE)</f>
        <v>4</v>
      </c>
      <c r="F18" s="21" t="str">
        <f>VLOOKUP(A18,'03_uFMEA'!$A:$R,12,FALSE)</f>
        <v>ALARP</v>
      </c>
      <c r="G18" s="21">
        <f>VLOOKUP(A18,'03_uFMEA'!$A:$R,17,FALSE)</f>
        <v>1</v>
      </c>
      <c r="H18" s="21" t="str">
        <f>VLOOKUP(A18,'03_uFMEA'!$A:$R,18,FALSE)</f>
        <v>✅</v>
      </c>
    </row>
    <row r="19" spans="1:8" x14ac:dyDescent="0.25">
      <c r="A19" s="22" t="s">
        <v>91</v>
      </c>
      <c r="B19" s="21" t="str">
        <f>VLOOKUP(A19,'03_uFMEA'!$A:$R,2,FALSE)</f>
        <v>Acopla tubing mal</v>
      </c>
      <c r="C19" s="21" t="str">
        <f>VLOOKUP(A19,'03_uFMEA'!$A:$R,2,FALSE)</f>
        <v>Acopla tubing mal</v>
      </c>
      <c r="D19" s="21">
        <f>VLOOKUP(A19,'03_uFMEA'!$A:$R,4,FALSE)</f>
        <v>5</v>
      </c>
      <c r="E19" s="21">
        <f>VLOOKUP(A19,'03_uFMEA'!$A:$R,11,FALSE)</f>
        <v>5</v>
      </c>
      <c r="F19" s="21" t="str">
        <f>VLOOKUP(A19,'03_uFMEA'!$A:$R,12,FALSE)</f>
        <v>❌</v>
      </c>
      <c r="G19" s="21">
        <f>VLOOKUP(A19,'03_uFMEA'!$A:$R,17,FALSE)</f>
        <v>1</v>
      </c>
      <c r="H19" s="21" t="str">
        <f>VLOOKUP(A19,'03_uFMEA'!$A:$R,18,FALSE)</f>
        <v>ALARP</v>
      </c>
    </row>
    <row r="20" spans="1:8" x14ac:dyDescent="0.25">
      <c r="A20" s="22" t="s">
        <v>109</v>
      </c>
      <c r="B20" s="21" t="str">
        <f>VLOOKUP(A20,'03_uFMEA'!$A:$R,2,FALSE)</f>
        <v>Ignora alarma presión</v>
      </c>
      <c r="C20" s="21" t="str">
        <f>VLOOKUP(A20,'03_uFMEA'!$A:$R,2,FALSE)</f>
        <v>Ignora alarma presión</v>
      </c>
      <c r="D20" s="21">
        <f>VLOOKUP(A20,'03_uFMEA'!$A:$R,4,FALSE)</f>
        <v>4</v>
      </c>
      <c r="E20" s="21">
        <f>VLOOKUP(A20,'03_uFMEA'!$A:$R,11,FALSE)</f>
        <v>5</v>
      </c>
      <c r="F20" s="21" t="str">
        <f>VLOOKUP(A20,'03_uFMEA'!$A:$R,12,FALSE)</f>
        <v>❌</v>
      </c>
      <c r="G20" s="21">
        <f>VLOOKUP(A20,'03_uFMEA'!$A:$R,17,FALSE)</f>
        <v>1</v>
      </c>
      <c r="H20" s="21" t="str">
        <f>VLOOKUP(A20,'03_uFMEA'!$A:$R,18,FALSE)</f>
        <v>✅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workbookViewId="0">
      <selection activeCell="C4" sqref="C4"/>
    </sheetView>
  </sheetViews>
  <sheetFormatPr defaultColWidth="9.140625" defaultRowHeight="15" x14ac:dyDescent="0.25"/>
  <cols>
    <col min="1" max="11" width="12" customWidth="1"/>
  </cols>
  <sheetData>
    <row r="1" spans="1:11" ht="18" customHeight="1" x14ac:dyDescent="0.25">
      <c r="A1" s="37" t="s">
        <v>196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3" spans="1:11" x14ac:dyDescent="0.25">
      <c r="A3" s="16" t="s">
        <v>197</v>
      </c>
      <c r="B3" s="16" t="s">
        <v>60</v>
      </c>
      <c r="C3" s="16" t="s">
        <v>54</v>
      </c>
      <c r="D3" s="16" t="s">
        <v>192</v>
      </c>
      <c r="E3" s="16" t="s">
        <v>193</v>
      </c>
      <c r="F3" s="16" t="s">
        <v>198</v>
      </c>
      <c r="G3" s="16" t="s">
        <v>125</v>
      </c>
      <c r="H3" s="16" t="s">
        <v>199</v>
      </c>
      <c r="I3" s="16" t="s">
        <v>194</v>
      </c>
      <c r="J3" s="16" t="s">
        <v>195</v>
      </c>
      <c r="K3" s="16" t="s">
        <v>200</v>
      </c>
    </row>
    <row r="4" spans="1:11" x14ac:dyDescent="0.25">
      <c r="A4" s="23" t="s">
        <v>201</v>
      </c>
      <c r="B4" s="23" t="s">
        <v>65</v>
      </c>
      <c r="C4" s="21">
        <f>IFERROR(VLOOKUP(B4,'02_dFMEA'!$A:$S,5,FALSE),VLOOKUP(B4,'03_uFMEA'!$A:$R,4,FALSE))</f>
        <v>5</v>
      </c>
      <c r="D4" s="21">
        <f>IFERROR(VLOOKUP(B4,'02_dFMEA'!$A:$S,12,FALSE),VLOOKUP(B4,'03_uFMEA'!$A:$R,11,FALSE))</f>
        <v>1</v>
      </c>
      <c r="E4" s="21" t="str">
        <f>IFERROR(VLOOKUP(B4,'02_dFMEA'!$A:$S,13,FALSE),VLOOKUP(B4,'03_uFMEA'!$A:$R,12,FALSE))</f>
        <v>ALARP</v>
      </c>
      <c r="F4" s="23" t="s">
        <v>202</v>
      </c>
      <c r="G4" s="23" t="s">
        <v>203</v>
      </c>
      <c r="H4" s="23" t="s">
        <v>204</v>
      </c>
      <c r="I4" s="21">
        <f>IFERROR(VLOOKUP(B4,'02_dFMEA'!$A:$S,18,FALSE),VLOOKUP(B4,'03_uFMEA'!$A:$R,17,FALSE))</f>
        <v>1</v>
      </c>
      <c r="J4" s="21" t="str">
        <f>IFERROR(VLOOKUP(B4,'02_dFMEA'!$A:$S,19,FALSE),VLOOKUP(B4,'03_uFMEA'!$A:$R,18,FALSE))</f>
        <v>ALARP</v>
      </c>
      <c r="K4" s="23" t="s">
        <v>205</v>
      </c>
    </row>
    <row r="5" spans="1:11" x14ac:dyDescent="0.25">
      <c r="A5" s="23" t="s">
        <v>206</v>
      </c>
      <c r="B5" s="23" t="s">
        <v>77</v>
      </c>
      <c r="C5" s="21">
        <f>IFERROR(VLOOKUP(B5,'02_dFMEA'!$A:$S,5,FALSE),VLOOKUP(B5,'03_uFMEA'!$A:$R,4,FALSE))</f>
        <v>4</v>
      </c>
      <c r="D5" s="21">
        <f>IFERROR(VLOOKUP(B5,'02_dFMEA'!$A:$S,12,FALSE),VLOOKUP(B5,'03_uFMEA'!$A:$R,11,FALSE))</f>
        <v>2</v>
      </c>
      <c r="E5" s="21" t="str">
        <f>IFERROR(VLOOKUP(B5,'02_dFMEA'!$A:$S,13,FALSE),VLOOKUP(B5,'03_uFMEA'!$A:$R,12,FALSE))</f>
        <v>ALARP</v>
      </c>
      <c r="F5" s="23" t="s">
        <v>207</v>
      </c>
      <c r="G5" s="23" t="s">
        <v>208</v>
      </c>
      <c r="H5" s="23" t="s">
        <v>209</v>
      </c>
      <c r="I5" s="21">
        <f>IFERROR(VLOOKUP(B5,'02_dFMEA'!$A:$S,18,FALSE),VLOOKUP(B5,'03_uFMEA'!$A:$R,17,FALSE))</f>
        <v>1</v>
      </c>
      <c r="J5" s="21" t="str">
        <f>IFERROR(VLOOKUP(B5,'02_dFMEA'!$A:$S,19,FALSE),VLOOKUP(B5,'03_uFMEA'!$A:$R,18,FALSE))</f>
        <v>✅</v>
      </c>
      <c r="K5" s="23" t="s">
        <v>210</v>
      </c>
    </row>
    <row r="6" spans="1:11" x14ac:dyDescent="0.25">
      <c r="A6" s="23" t="s">
        <v>211</v>
      </c>
      <c r="B6" s="23" t="s">
        <v>84</v>
      </c>
      <c r="C6" s="21">
        <f>IFERROR(VLOOKUP(B6,'02_dFMEA'!$A:$S,5,FALSE),VLOOKUP(B6,'03_uFMEA'!$A:$R,4,FALSE))</f>
        <v>5</v>
      </c>
      <c r="D6" s="21">
        <f>IFERROR(VLOOKUP(B6,'02_dFMEA'!$A:$S,12,FALSE),VLOOKUP(B6,'03_uFMEA'!$A:$R,11,FALSE))</f>
        <v>3</v>
      </c>
      <c r="E6" s="21" t="str">
        <f>IFERROR(VLOOKUP(B6,'02_dFMEA'!$A:$S,13,FALSE),VLOOKUP(B6,'03_uFMEA'!$A:$R,12,FALSE))</f>
        <v>❌</v>
      </c>
      <c r="F6" s="23" t="s">
        <v>202</v>
      </c>
      <c r="G6" s="23" t="s">
        <v>212</v>
      </c>
      <c r="H6" s="23" t="s">
        <v>213</v>
      </c>
      <c r="I6" s="21">
        <f>IFERROR(VLOOKUP(B6,'02_dFMEA'!$A:$S,18,FALSE),VLOOKUP(B6,'03_uFMEA'!$A:$R,17,FALSE))</f>
        <v>1</v>
      </c>
      <c r="J6" s="21" t="str">
        <f>IFERROR(VLOOKUP(B6,'02_dFMEA'!$A:$S,19,FALSE),VLOOKUP(B6,'03_uFMEA'!$A:$R,18,FALSE))</f>
        <v>ALARP</v>
      </c>
      <c r="K6" s="23" t="s">
        <v>210</v>
      </c>
    </row>
    <row r="7" spans="1:11" x14ac:dyDescent="0.25">
      <c r="A7" s="23" t="s">
        <v>214</v>
      </c>
      <c r="B7" s="23" t="s">
        <v>91</v>
      </c>
      <c r="C7" s="21">
        <f>IFERROR(VLOOKUP(B7,'02_dFMEA'!$A:$S,5,FALSE),VLOOKUP(B7,'03_uFMEA'!$A:$R,4,FALSE))</f>
        <v>5</v>
      </c>
      <c r="D7" s="21">
        <f>IFERROR(VLOOKUP(B7,'02_dFMEA'!$A:$S,12,FALSE),VLOOKUP(B7,'03_uFMEA'!$A:$R,11,FALSE))</f>
        <v>1</v>
      </c>
      <c r="E7" s="21" t="str">
        <f>IFERROR(VLOOKUP(B7,'02_dFMEA'!$A:$S,13,FALSE),VLOOKUP(B7,'03_uFMEA'!$A:$R,12,FALSE))</f>
        <v>ALARP</v>
      </c>
      <c r="F7" s="23" t="s">
        <v>202</v>
      </c>
      <c r="G7" s="23" t="s">
        <v>215</v>
      </c>
      <c r="H7" s="23" t="s">
        <v>216</v>
      </c>
      <c r="I7" s="21">
        <f>IFERROR(VLOOKUP(B7,'02_dFMEA'!$A:$S,18,FALSE),VLOOKUP(B7,'03_uFMEA'!$A:$R,17,FALSE))</f>
        <v>1</v>
      </c>
      <c r="J7" s="21" t="str">
        <f>IFERROR(VLOOKUP(B7,'02_dFMEA'!$A:$S,19,FALSE),VLOOKUP(B7,'03_uFMEA'!$A:$R,18,FALSE))</f>
        <v>ALARP</v>
      </c>
      <c r="K7" s="23" t="s">
        <v>205</v>
      </c>
    </row>
    <row r="8" spans="1:11" x14ac:dyDescent="0.25">
      <c r="A8" s="23" t="s">
        <v>217</v>
      </c>
      <c r="B8" s="23" t="s">
        <v>94</v>
      </c>
      <c r="C8" s="21">
        <f>IFERROR(VLOOKUP(B8,'02_dFMEA'!$A:$S,5,FALSE),VLOOKUP(B8,'03_uFMEA'!$A:$R,4,FALSE))</f>
        <v>4</v>
      </c>
      <c r="D8" s="21">
        <f>IFERROR(VLOOKUP(B8,'02_dFMEA'!$A:$S,12,FALSE),VLOOKUP(B8,'03_uFMEA'!$A:$R,11,FALSE))</f>
        <v>2</v>
      </c>
      <c r="E8" s="21" t="str">
        <f>IFERROR(VLOOKUP(B8,'02_dFMEA'!$A:$S,13,FALSE),VLOOKUP(B8,'03_uFMEA'!$A:$R,12,FALSE))</f>
        <v>ALARP</v>
      </c>
      <c r="F8" s="23" t="s">
        <v>207</v>
      </c>
      <c r="G8" s="23" t="s">
        <v>218</v>
      </c>
      <c r="H8" s="23" t="s">
        <v>219</v>
      </c>
      <c r="I8" s="21">
        <f>IFERROR(VLOOKUP(B8,'02_dFMEA'!$A:$S,18,FALSE),VLOOKUP(B8,'03_uFMEA'!$A:$R,17,FALSE))</f>
        <v>1</v>
      </c>
      <c r="J8" s="21" t="str">
        <f>IFERROR(VLOOKUP(B8,'02_dFMEA'!$A:$S,19,FALSE),VLOOKUP(B8,'03_uFMEA'!$A:$R,18,FALSE))</f>
        <v>✅</v>
      </c>
      <c r="K8" s="23" t="s">
        <v>220</v>
      </c>
    </row>
    <row r="9" spans="1:11" x14ac:dyDescent="0.25">
      <c r="A9" s="23" t="s">
        <v>221</v>
      </c>
      <c r="B9" s="23" t="s">
        <v>100</v>
      </c>
      <c r="C9" s="21">
        <f>IFERROR(VLOOKUP(B9,'02_dFMEA'!$A:$S,5,FALSE),VLOOKUP(B9,'03_uFMEA'!$A:$R,4,FALSE))</f>
        <v>5</v>
      </c>
      <c r="D9" s="21">
        <f>IFERROR(VLOOKUP(B9,'02_dFMEA'!$A:$S,12,FALSE),VLOOKUP(B9,'03_uFMEA'!$A:$R,11,FALSE))</f>
        <v>3</v>
      </c>
      <c r="E9" s="21" t="str">
        <f>IFERROR(VLOOKUP(B9,'02_dFMEA'!$A:$S,13,FALSE),VLOOKUP(B9,'03_uFMEA'!$A:$R,12,FALSE))</f>
        <v>❌</v>
      </c>
      <c r="F9" s="23" t="s">
        <v>207</v>
      </c>
      <c r="G9" s="23" t="s">
        <v>222</v>
      </c>
      <c r="H9" s="23" t="s">
        <v>223</v>
      </c>
      <c r="I9" s="21">
        <f>IFERROR(VLOOKUP(B9,'02_dFMEA'!$A:$S,18,FALSE),VLOOKUP(B9,'03_uFMEA'!$A:$R,17,FALSE))</f>
        <v>1</v>
      </c>
      <c r="J9" s="21" t="str">
        <f>IFERROR(VLOOKUP(B9,'02_dFMEA'!$A:$S,19,FALSE),VLOOKUP(B9,'03_uFMEA'!$A:$R,18,FALSE))</f>
        <v>ALARP</v>
      </c>
      <c r="K9" s="23" t="s">
        <v>210</v>
      </c>
    </row>
    <row r="10" spans="1:11" x14ac:dyDescent="0.25">
      <c r="A10" s="23" t="s">
        <v>224</v>
      </c>
      <c r="B10" s="23" t="s">
        <v>106</v>
      </c>
      <c r="C10" s="21">
        <f>IFERROR(VLOOKUP(B10,'02_dFMEA'!$A:$S,5,FALSE),VLOOKUP(B10,'03_uFMEA'!$A:$R,4,FALSE))</f>
        <v>4</v>
      </c>
      <c r="D10" s="21">
        <f>IFERROR(VLOOKUP(B10,'02_dFMEA'!$A:$S,12,FALSE),VLOOKUP(B10,'03_uFMEA'!$A:$R,11,FALSE))</f>
        <v>1</v>
      </c>
      <c r="E10" s="21" t="str">
        <f>IFERROR(VLOOKUP(B10,'02_dFMEA'!$A:$S,13,FALSE),VLOOKUP(B10,'03_uFMEA'!$A:$R,12,FALSE))</f>
        <v>✅</v>
      </c>
      <c r="F10" s="23" t="s">
        <v>202</v>
      </c>
      <c r="G10" s="23" t="s">
        <v>225</v>
      </c>
      <c r="H10" s="23" t="s">
        <v>226</v>
      </c>
      <c r="I10" s="21">
        <f>IFERROR(VLOOKUP(B10,'02_dFMEA'!$A:$S,18,FALSE),VLOOKUP(B10,'03_uFMEA'!$A:$R,17,FALSE))</f>
        <v>1</v>
      </c>
      <c r="J10" s="21" t="str">
        <f>IFERROR(VLOOKUP(B10,'02_dFMEA'!$A:$S,19,FALSE),VLOOKUP(B10,'03_uFMEA'!$A:$R,18,FALSE))</f>
        <v>✅</v>
      </c>
      <c r="K10" s="23" t="s">
        <v>205</v>
      </c>
    </row>
    <row r="11" spans="1:11" x14ac:dyDescent="0.25">
      <c r="A11" s="23" t="s">
        <v>227</v>
      </c>
      <c r="B11" s="23" t="s">
        <v>109</v>
      </c>
      <c r="C11" s="21">
        <f>IFERROR(VLOOKUP(B11,'02_dFMEA'!$A:$S,5,FALSE),VLOOKUP(B11,'03_uFMEA'!$A:$R,4,FALSE))</f>
        <v>5</v>
      </c>
      <c r="D11" s="21">
        <f>IFERROR(VLOOKUP(B11,'02_dFMEA'!$A:$S,12,FALSE),VLOOKUP(B11,'03_uFMEA'!$A:$R,11,FALSE))</f>
        <v>2</v>
      </c>
      <c r="E11" s="21" t="str">
        <f>IFERROR(VLOOKUP(B11,'02_dFMEA'!$A:$S,13,FALSE),VLOOKUP(B11,'03_uFMEA'!$A:$R,12,FALSE))</f>
        <v>ALARP</v>
      </c>
      <c r="F11" s="23" t="s">
        <v>207</v>
      </c>
      <c r="G11" s="23" t="s">
        <v>188</v>
      </c>
      <c r="H11" s="23" t="s">
        <v>228</v>
      </c>
      <c r="I11" s="21">
        <f>IFERROR(VLOOKUP(B11,'02_dFMEA'!$A:$S,18,FALSE),VLOOKUP(B11,'03_uFMEA'!$A:$R,17,FALSE))</f>
        <v>1</v>
      </c>
      <c r="J11" s="21" t="str">
        <f>IFERROR(VLOOKUP(B11,'02_dFMEA'!$A:$S,19,FALSE),VLOOKUP(B11,'03_uFMEA'!$A:$R,18,FALSE))</f>
        <v>ALARP</v>
      </c>
      <c r="K11" s="23" t="s">
        <v>210</v>
      </c>
    </row>
    <row r="12" spans="1:11" x14ac:dyDescent="0.25">
      <c r="A12" s="23" t="s">
        <v>229</v>
      </c>
      <c r="B12" s="23" t="s">
        <v>97</v>
      </c>
      <c r="C12" s="21">
        <f>IFERROR(VLOOKUP(B12,'02_dFMEA'!$A:$S,5,FALSE),VLOOKUP(B12,'03_uFMEA'!$A:$R,4,FALSE))</f>
        <v>3</v>
      </c>
      <c r="D12" s="21">
        <f>IFERROR(VLOOKUP(B12,'02_dFMEA'!$A:$S,12,FALSE),VLOOKUP(B12,'03_uFMEA'!$A:$R,11,FALSE))</f>
        <v>5</v>
      </c>
      <c r="E12" s="21" t="str">
        <f>IFERROR(VLOOKUP(B12,'02_dFMEA'!$A:$S,13,FALSE),VLOOKUP(B12,'03_uFMEA'!$A:$R,12,FALSE))</f>
        <v>❌</v>
      </c>
      <c r="F12" s="23" t="s">
        <v>207</v>
      </c>
      <c r="G12" s="23" t="s">
        <v>230</v>
      </c>
      <c r="H12" s="23" t="s">
        <v>231</v>
      </c>
      <c r="I12" s="21">
        <f>IFERROR(VLOOKUP(B12,'02_dFMEA'!$A:$S,18,FALSE),VLOOKUP(B12,'03_uFMEA'!$A:$R,17,FALSE))</f>
        <v>1</v>
      </c>
      <c r="J12" s="21" t="str">
        <f>IFERROR(VLOOKUP(B12,'02_dFMEA'!$A:$S,19,FALSE),VLOOKUP(B12,'03_uFMEA'!$A:$R,18,FALSE))</f>
        <v>✅</v>
      </c>
      <c r="K12" s="23" t="s">
        <v>220</v>
      </c>
    </row>
    <row r="13" spans="1:11" x14ac:dyDescent="0.25">
      <c r="A13" s="23" t="s">
        <v>232</v>
      </c>
      <c r="B13" s="23" t="s">
        <v>112</v>
      </c>
      <c r="C13" s="21">
        <f>IFERROR(VLOOKUP(B13,'02_dFMEA'!$A:$S,5,FALSE),VLOOKUP(B13,'03_uFMEA'!$A:$R,4,FALSE))</f>
        <v>3</v>
      </c>
      <c r="D13" s="21">
        <f>IFERROR(VLOOKUP(B13,'02_dFMEA'!$A:$S,12,FALSE),VLOOKUP(B13,'03_uFMEA'!$A:$R,11,FALSE))</f>
        <v>4</v>
      </c>
      <c r="E13" s="21" t="str">
        <f>IFERROR(VLOOKUP(B13,'02_dFMEA'!$A:$S,13,FALSE),VLOOKUP(B13,'03_uFMEA'!$A:$R,12,FALSE))</f>
        <v>ALARP</v>
      </c>
      <c r="F13" s="23" t="s">
        <v>202</v>
      </c>
      <c r="G13" s="23" t="s">
        <v>233</v>
      </c>
      <c r="H13" s="23" t="s">
        <v>234</v>
      </c>
      <c r="I13" s="21">
        <f>IFERROR(VLOOKUP(B13,'02_dFMEA'!$A:$S,18,FALSE),VLOOKUP(B13,'03_uFMEA'!$A:$R,17,FALSE))</f>
        <v>1</v>
      </c>
      <c r="J13" s="21" t="str">
        <f>IFERROR(VLOOKUP(B13,'02_dFMEA'!$A:$S,19,FALSE),VLOOKUP(B13,'03_uFMEA'!$A:$R,18,FALSE))</f>
        <v>✅</v>
      </c>
      <c r="K13" s="23" t="s">
        <v>235</v>
      </c>
    </row>
    <row r="14" spans="1:11" x14ac:dyDescent="0.25">
      <c r="A14" s="23" t="s">
        <v>236</v>
      </c>
      <c r="B14" s="23" t="s">
        <v>69</v>
      </c>
      <c r="C14" s="21">
        <f>IFERROR(VLOOKUP(B14,'02_dFMEA'!$A:$S,5,FALSE),VLOOKUP(B14,'03_uFMEA'!$A:$R,4,FALSE))</f>
        <v>5</v>
      </c>
      <c r="D14" s="21">
        <f>IFERROR(VLOOKUP(B14,'02_dFMEA'!$A:$S,12,FALSE),VLOOKUP(B14,'03_uFMEA'!$A:$R,11,FALSE))</f>
        <v>5</v>
      </c>
      <c r="E14" s="21" t="str">
        <f>IFERROR(VLOOKUP(B14,'02_dFMEA'!$A:$S,13,FALSE),VLOOKUP(B14,'03_uFMEA'!$A:$R,12,FALSE))</f>
        <v>❌</v>
      </c>
      <c r="F14" s="23" t="s">
        <v>202</v>
      </c>
      <c r="G14" s="23" t="s">
        <v>237</v>
      </c>
      <c r="H14" s="23" t="s">
        <v>238</v>
      </c>
      <c r="I14" s="21">
        <f>IFERROR(VLOOKUP(B14,'02_dFMEA'!$A:$S,18,FALSE),VLOOKUP(B14,'03_uFMEA'!$A:$R,17,FALSE))</f>
        <v>1</v>
      </c>
      <c r="J14" s="21" t="str">
        <f>IFERROR(VLOOKUP(B14,'02_dFMEA'!$A:$S,19,FALSE),VLOOKUP(B14,'03_uFMEA'!$A:$R,18,FALSE))</f>
        <v>ALARP</v>
      </c>
      <c r="K14" s="23" t="s">
        <v>210</v>
      </c>
    </row>
    <row r="15" spans="1:11" x14ac:dyDescent="0.25">
      <c r="A15" s="23" t="s">
        <v>239</v>
      </c>
      <c r="B15" s="23" t="s">
        <v>88</v>
      </c>
      <c r="C15" s="21">
        <f>IFERROR(VLOOKUP(B15,'02_dFMEA'!$A:$S,5,FALSE),VLOOKUP(B15,'03_uFMEA'!$A:$R,4,FALSE))</f>
        <v>4</v>
      </c>
      <c r="D15" s="21">
        <f>IFERROR(VLOOKUP(B15,'02_dFMEA'!$A:$S,12,FALSE),VLOOKUP(B15,'03_uFMEA'!$A:$R,11,FALSE))</f>
        <v>4</v>
      </c>
      <c r="E15" s="21" t="str">
        <f>IFERROR(VLOOKUP(B15,'02_dFMEA'!$A:$S,13,FALSE),VLOOKUP(B15,'03_uFMEA'!$A:$R,12,FALSE))</f>
        <v>❌</v>
      </c>
      <c r="F15" s="23" t="s">
        <v>240</v>
      </c>
      <c r="G15" s="23" t="s">
        <v>241</v>
      </c>
      <c r="H15" s="23" t="s">
        <v>242</v>
      </c>
      <c r="I15" s="21">
        <f>IFERROR(VLOOKUP(B15,'02_dFMEA'!$A:$S,18,FALSE),VLOOKUP(B15,'03_uFMEA'!$A:$R,17,FALSE))</f>
        <v>1</v>
      </c>
      <c r="J15" s="21" t="str">
        <f>IFERROR(VLOOKUP(B15,'02_dFMEA'!$A:$S,19,FALSE),VLOOKUP(B15,'03_uFMEA'!$A:$R,18,FALSE))</f>
        <v>✅</v>
      </c>
      <c r="K15" s="23" t="s">
        <v>210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E22" sqref="E22"/>
    </sheetView>
  </sheetViews>
  <sheetFormatPr defaultColWidth="9.140625" defaultRowHeight="15" x14ac:dyDescent="0.25"/>
  <cols>
    <col min="1" max="1" width="30" customWidth="1"/>
    <col min="2" max="3" width="18" customWidth="1"/>
  </cols>
  <sheetData>
    <row r="1" spans="1:3" ht="18" customHeight="1" x14ac:dyDescent="0.25">
      <c r="A1" s="37" t="s">
        <v>243</v>
      </c>
      <c r="B1" s="30"/>
      <c r="C1" s="30"/>
    </row>
    <row r="3" spans="1:3" x14ac:dyDescent="0.25">
      <c r="A3" s="24" t="s">
        <v>244</v>
      </c>
      <c r="B3" s="24" t="s">
        <v>245</v>
      </c>
      <c r="C3" s="24" t="s">
        <v>246</v>
      </c>
    </row>
    <row r="4" spans="1:3" x14ac:dyDescent="0.25">
      <c r="A4" s="22" t="s">
        <v>247</v>
      </c>
      <c r="B4" s="21">
        <f>COUNTA('04_Risk_Eval'!A4:A20)</f>
        <v>17</v>
      </c>
      <c r="C4" s="21">
        <f>COUNTA('04_Risk_Eval'!A4:A20)</f>
        <v>17</v>
      </c>
    </row>
    <row r="5" spans="1:3" x14ac:dyDescent="0.25">
      <c r="A5" s="22" t="s">
        <v>248</v>
      </c>
      <c r="B5" s="21">
        <f>COUNTIF('04_Risk_Eval'!F4:F20,"❌*")</f>
        <v>9</v>
      </c>
      <c r="C5" s="21">
        <f>COUNTIF('04_Risk_Eval'!H4:H20,"❌*")</f>
        <v>0</v>
      </c>
    </row>
    <row r="6" spans="1:3" x14ac:dyDescent="0.25">
      <c r="A6" s="22" t="s">
        <v>56</v>
      </c>
      <c r="B6" s="21">
        <f>COUNTIF('04_Risk_Eval'!F4:F20,"ALARP*")</f>
        <v>7</v>
      </c>
      <c r="C6" s="21">
        <f>COUNTIF('04_Risk_Eval'!H4:H20,"ALARP*")</f>
        <v>7</v>
      </c>
    </row>
    <row r="7" spans="1:3" x14ac:dyDescent="0.25">
      <c r="A7" s="22" t="s">
        <v>249</v>
      </c>
      <c r="B7" s="21">
        <f>COUNTIF('04_Risk_Eval'!F4:F20,"✅*")</f>
        <v>1</v>
      </c>
      <c r="C7" s="21">
        <f>COUNTIF('04_Risk_Eval'!H4:H20,"✅*")</f>
        <v>10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activeCell="I26" sqref="I26"/>
    </sheetView>
  </sheetViews>
  <sheetFormatPr defaultColWidth="9.140625" defaultRowHeight="15" x14ac:dyDescent="0.25"/>
  <cols>
    <col min="1" max="1" width="35" customWidth="1"/>
    <col min="2" max="2" width="28" customWidth="1"/>
    <col min="3" max="3" width="15" customWidth="1"/>
    <col min="4" max="4" width="25" customWidth="1"/>
  </cols>
  <sheetData>
    <row r="1" spans="1:4" ht="18" customHeight="1" x14ac:dyDescent="0.25">
      <c r="A1" s="37" t="s">
        <v>250</v>
      </c>
      <c r="B1" s="30"/>
      <c r="C1" s="30"/>
      <c r="D1" s="30"/>
    </row>
    <row r="3" spans="1:4" x14ac:dyDescent="0.25">
      <c r="A3" s="25" t="s">
        <v>251</v>
      </c>
      <c r="B3" s="25" t="s">
        <v>252</v>
      </c>
      <c r="C3" s="25" t="s">
        <v>253</v>
      </c>
      <c r="D3" s="25" t="s">
        <v>254</v>
      </c>
    </row>
    <row r="4" spans="1:4" x14ac:dyDescent="0.25">
      <c r="A4" s="22" t="s">
        <v>255</v>
      </c>
      <c r="B4" s="22" t="s">
        <v>256</v>
      </c>
      <c r="C4" s="22" t="s">
        <v>257</v>
      </c>
      <c r="D4" s="22" t="s">
        <v>258</v>
      </c>
    </row>
    <row r="5" spans="1:4" x14ac:dyDescent="0.25">
      <c r="A5" s="22" t="s">
        <v>259</v>
      </c>
      <c r="B5" s="22" t="s">
        <v>260</v>
      </c>
      <c r="C5" s="22" t="s">
        <v>257</v>
      </c>
      <c r="D5" s="22" t="s">
        <v>261</v>
      </c>
    </row>
    <row r="6" spans="1:4" x14ac:dyDescent="0.25">
      <c r="A6" s="22" t="s">
        <v>262</v>
      </c>
      <c r="B6" s="22" t="s">
        <v>263</v>
      </c>
      <c r="C6" s="22" t="s">
        <v>257</v>
      </c>
      <c r="D6" s="22" t="s">
        <v>264</v>
      </c>
    </row>
    <row r="7" spans="1:4" x14ac:dyDescent="0.25">
      <c r="A7" s="22" t="s">
        <v>265</v>
      </c>
      <c r="B7" s="22" t="s">
        <v>266</v>
      </c>
      <c r="C7" s="22" t="s">
        <v>257</v>
      </c>
      <c r="D7" s="22" t="s">
        <v>267</v>
      </c>
    </row>
    <row r="8" spans="1:4" x14ac:dyDescent="0.25">
      <c r="A8" s="22" t="s">
        <v>268</v>
      </c>
      <c r="B8" s="22" t="s">
        <v>269</v>
      </c>
      <c r="C8" s="22" t="s">
        <v>257</v>
      </c>
      <c r="D8" s="22" t="s">
        <v>270</v>
      </c>
    </row>
    <row r="9" spans="1:4" x14ac:dyDescent="0.25">
      <c r="A9" s="22" t="s">
        <v>271</v>
      </c>
      <c r="B9" s="22" t="s">
        <v>272</v>
      </c>
      <c r="C9" s="22" t="s">
        <v>257</v>
      </c>
      <c r="D9" s="22" t="s">
        <v>273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sqref="A1:D1"/>
    </sheetView>
  </sheetViews>
  <sheetFormatPr defaultColWidth="9.140625" defaultRowHeight="15" x14ac:dyDescent="0.25"/>
  <cols>
    <col min="1" max="2" width="28" customWidth="1"/>
    <col min="3" max="3" width="16" customWidth="1"/>
    <col min="4" max="4" width="20" customWidth="1"/>
  </cols>
  <sheetData>
    <row r="1" spans="1:4" ht="18" customHeight="1" x14ac:dyDescent="0.25">
      <c r="A1" s="37" t="s">
        <v>274</v>
      </c>
      <c r="B1" s="30"/>
      <c r="C1" s="30"/>
      <c r="D1" s="30"/>
    </row>
    <row r="3" spans="1:4" x14ac:dyDescent="0.25">
      <c r="A3" s="25" t="s">
        <v>275</v>
      </c>
      <c r="B3" s="25" t="s">
        <v>276</v>
      </c>
      <c r="C3" s="25" t="s">
        <v>277</v>
      </c>
      <c r="D3" s="25" t="s">
        <v>278</v>
      </c>
    </row>
    <row r="4" spans="1:4" x14ac:dyDescent="0.25">
      <c r="A4" s="22" t="s">
        <v>279</v>
      </c>
      <c r="B4" s="22" t="s">
        <v>280</v>
      </c>
      <c r="C4" s="22" t="s">
        <v>281</v>
      </c>
      <c r="D4" s="22" t="s">
        <v>282</v>
      </c>
    </row>
    <row r="5" spans="1:4" x14ac:dyDescent="0.25">
      <c r="A5" s="22" t="s">
        <v>283</v>
      </c>
      <c r="B5" s="22" t="s">
        <v>284</v>
      </c>
      <c r="C5" s="22" t="s">
        <v>285</v>
      </c>
      <c r="D5" s="22" t="s">
        <v>286</v>
      </c>
    </row>
    <row r="6" spans="1:4" x14ac:dyDescent="0.25">
      <c r="A6" s="22" t="s">
        <v>287</v>
      </c>
      <c r="B6" s="22" t="s">
        <v>288</v>
      </c>
      <c r="C6" s="22" t="s">
        <v>289</v>
      </c>
      <c r="D6" s="22" t="s">
        <v>290</v>
      </c>
    </row>
    <row r="7" spans="1:4" x14ac:dyDescent="0.25">
      <c r="A7" s="22" t="s">
        <v>291</v>
      </c>
      <c r="B7" s="22" t="s">
        <v>292</v>
      </c>
      <c r="C7" s="22" t="s">
        <v>289</v>
      </c>
      <c r="D7" s="22" t="s">
        <v>293</v>
      </c>
    </row>
    <row r="8" spans="1:4" x14ac:dyDescent="0.25">
      <c r="A8" s="22" t="s">
        <v>294</v>
      </c>
      <c r="B8" s="22" t="s">
        <v>295</v>
      </c>
      <c r="C8" s="22" t="s">
        <v>296</v>
      </c>
      <c r="D8" s="22" t="s">
        <v>286</v>
      </c>
    </row>
    <row r="9" spans="1:4" x14ac:dyDescent="0.25">
      <c r="A9" s="22" t="s">
        <v>297</v>
      </c>
      <c r="B9" s="22" t="s">
        <v>298</v>
      </c>
      <c r="C9" s="22" t="s">
        <v>296</v>
      </c>
      <c r="D9" s="22" t="s">
        <v>72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2"/>
  <sheetViews>
    <sheetView topLeftCell="A10" workbookViewId="0">
      <selection activeCell="K23" sqref="K23"/>
    </sheetView>
  </sheetViews>
  <sheetFormatPr defaultColWidth="9.140625" defaultRowHeight="15" x14ac:dyDescent="0.25"/>
  <cols>
    <col min="1" max="1" width="32" customWidth="1"/>
    <col min="2" max="2" width="18" customWidth="1"/>
  </cols>
  <sheetData>
    <row r="1" spans="1:7" ht="20.25" customHeight="1" x14ac:dyDescent="0.3">
      <c r="A1" s="33" t="s">
        <v>299</v>
      </c>
      <c r="B1" s="30"/>
      <c r="C1" s="30"/>
      <c r="D1" s="30"/>
      <c r="E1" s="30"/>
      <c r="F1" s="30"/>
      <c r="G1" s="30"/>
    </row>
    <row r="3" spans="1:7" ht="15.75" customHeight="1" x14ac:dyDescent="0.25">
      <c r="A3" s="31" t="s">
        <v>300</v>
      </c>
      <c r="B3" s="30"/>
      <c r="C3" s="30"/>
      <c r="D3" s="30"/>
      <c r="E3" s="30"/>
      <c r="F3" s="30"/>
      <c r="G3" s="30"/>
    </row>
    <row r="4" spans="1:7" x14ac:dyDescent="0.25">
      <c r="A4" s="26" t="s">
        <v>301</v>
      </c>
      <c r="B4" s="27">
        <f>COUNTA('01_PHA'!A4:A18)</f>
        <v>15</v>
      </c>
    </row>
    <row r="5" spans="1:7" x14ac:dyDescent="0.25">
      <c r="A5" s="26" t="s">
        <v>302</v>
      </c>
      <c r="B5" s="27">
        <f>COUNTA('04_Risk_Eval'!A4:A20)</f>
        <v>17</v>
      </c>
    </row>
    <row r="6" spans="1:7" x14ac:dyDescent="0.25">
      <c r="A6" s="26" t="s">
        <v>303</v>
      </c>
      <c r="B6" s="27">
        <f>COUNTIF('04_Risk_Eval'!F4:F20,"❌*")</f>
        <v>9</v>
      </c>
    </row>
    <row r="7" spans="1:7" x14ac:dyDescent="0.25">
      <c r="A7" s="26" t="s">
        <v>304</v>
      </c>
      <c r="B7" s="27">
        <f>COUNTIF('04_Risk_Eval'!F4:F20,"ALARP*")</f>
        <v>7</v>
      </c>
    </row>
    <row r="8" spans="1:7" x14ac:dyDescent="0.25">
      <c r="A8" s="26" t="s">
        <v>305</v>
      </c>
      <c r="B8" s="27">
        <f>COUNTIF('04_Risk_Eval'!H4:H20,"❌*")</f>
        <v>0</v>
      </c>
    </row>
    <row r="9" spans="1:7" x14ac:dyDescent="0.25">
      <c r="A9" s="26" t="s">
        <v>306</v>
      </c>
      <c r="B9" s="27">
        <f>COUNTIF('04_Risk_Eval'!H4:H20,"✅*")</f>
        <v>10</v>
      </c>
    </row>
    <row r="11" spans="1:7" x14ac:dyDescent="0.25">
      <c r="A11" s="32" t="s">
        <v>307</v>
      </c>
      <c r="B11" s="30"/>
      <c r="C11" s="30"/>
      <c r="D11" s="30"/>
      <c r="E11" s="30"/>
      <c r="F11" s="30"/>
      <c r="G11" s="30"/>
    </row>
    <row r="12" spans="1:7" x14ac:dyDescent="0.25">
      <c r="A12" s="8" t="s">
        <v>308</v>
      </c>
      <c r="B12" s="8" t="s">
        <v>245</v>
      </c>
      <c r="C12" s="8" t="s">
        <v>246</v>
      </c>
    </row>
    <row r="13" spans="1:7" x14ac:dyDescent="0.25">
      <c r="A13" s="28" t="s">
        <v>248</v>
      </c>
      <c r="B13" s="21">
        <f>COUNTIF('04_Risk_Eval'!F4:F20,"❌*")</f>
        <v>9</v>
      </c>
      <c r="C13" s="21">
        <f>COUNTIF('04_Risk_Eval'!H4:H20,"❌*")</f>
        <v>0</v>
      </c>
    </row>
    <row r="14" spans="1:7" x14ac:dyDescent="0.25">
      <c r="A14" s="28" t="s">
        <v>56</v>
      </c>
      <c r="B14" s="21">
        <f>COUNTIF('04_Risk_Eval'!F4:F20,"ALARP*")</f>
        <v>7</v>
      </c>
      <c r="C14" s="21">
        <f>COUNTIF('04_Risk_Eval'!H4:H20,"ALARP*")</f>
        <v>7</v>
      </c>
    </row>
    <row r="15" spans="1:7" x14ac:dyDescent="0.25">
      <c r="A15" s="28" t="s">
        <v>249</v>
      </c>
      <c r="B15" s="21">
        <f>COUNTIF('04_Risk_Eval'!F4:F20,"✅*")</f>
        <v>1</v>
      </c>
      <c r="C15" s="21">
        <f>COUNTIF('04_Risk_Eval'!H4:H20,"✅*")</f>
        <v>10</v>
      </c>
    </row>
    <row r="32" spans="1:7" ht="30" customHeight="1" x14ac:dyDescent="0.25">
      <c r="A32" s="29" t="s">
        <v>309</v>
      </c>
      <c r="B32" s="30"/>
      <c r="C32" s="30"/>
      <c r="D32" s="30"/>
      <c r="E32" s="30"/>
      <c r="F32" s="30"/>
      <c r="G32" s="30"/>
    </row>
  </sheetData>
  <mergeCells count="4">
    <mergeCell ref="A32:G32"/>
    <mergeCell ref="A3:G3"/>
    <mergeCell ref="A11:G11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00_RMP</vt:lpstr>
      <vt:lpstr>01_PHA</vt:lpstr>
      <vt:lpstr>02_dFMEA</vt:lpstr>
      <vt:lpstr>03_uFMEA</vt:lpstr>
      <vt:lpstr>04_Risk_Eval</vt:lpstr>
      <vt:lpstr>05_Risk_Control</vt:lpstr>
      <vt:lpstr>06_Overall_RR</vt:lpstr>
      <vt:lpstr>07_RMR</vt:lpstr>
      <vt:lpstr>08_PostProd</vt:lpstr>
      <vt:lpstr>Dashboard</vt:lpstr>
      <vt:lpstr>MatrizAceptabilidad</vt:lpstr>
      <vt:lpstr>NivelesP</vt:lpstr>
      <vt:lpstr>NivelesS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Ivan Campo Salazar</cp:lastModifiedBy>
  <dcterms:created xsi:type="dcterms:W3CDTF">2026-05-15T14:26:56Z</dcterms:created>
  <dcterms:modified xsi:type="dcterms:W3CDTF">2026-05-16T18:35:04Z</dcterms:modified>
</cp:coreProperties>
</file>