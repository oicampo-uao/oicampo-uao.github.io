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oicampo\Documents\GitHub\oicampo-uao.github.io\academics\CABD\2025-2\"/>
    </mc:Choice>
  </mc:AlternateContent>
  <xr:revisionPtr revIDLastSave="0" documentId="13_ncr:1_{00755732-B92C-4A57-B8CE-632C276DA482}" xr6:coauthVersionLast="47" xr6:coauthVersionMax="47" xr10:uidLastSave="{00000000-0000-0000-0000-000000000000}"/>
  <bookViews>
    <workbookView xWindow="-120" yWindow="-120" windowWidth="29040" windowHeight="15840" xr2:uid="{A6706BE5-6C63-4BDD-8165-A67704DFB86B}"/>
  </bookViews>
  <sheets>
    <sheet name="CABD 2025-2" sheetId="1" r:id="rId1"/>
    <sheet name="Sheet2" sheetId="3" r:id="rId2"/>
    <sheet name="Sheet1" sheetId="2" r:id="rId3"/>
    <sheet name="Sheet3" sheetId="4" r:id="rId4"/>
  </sheets>
  <definedNames>
    <definedName name="_xlnm._FilterDatabase" localSheetId="0" hidden="1">'CABD 2025-2'!$A$3:$T$3</definedName>
    <definedName name="_xlnm._FilterDatabase" localSheetId="2" hidden="1">Sheet1!$A$1:$B$1</definedName>
    <definedName name="_xlnm._FilterDatabase" localSheetId="3" hidden="1">Sheet3!$A$1:$E$34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4" i="1" l="1"/>
  <c r="BB19" i="1"/>
  <c r="BB18" i="1"/>
  <c r="BB6" i="1"/>
  <c r="BB17" i="1"/>
  <c r="BB8" i="1"/>
  <c r="BB13" i="1"/>
  <c r="BB11" i="1"/>
  <c r="BB23" i="1"/>
  <c r="BB28" i="1"/>
  <c r="BB25" i="1"/>
  <c r="BB4" i="1"/>
  <c r="BB7" i="1"/>
  <c r="BB16" i="1"/>
  <c r="BB9" i="1"/>
  <c r="BB12" i="1"/>
  <c r="BB31" i="1"/>
  <c r="BB29" i="1"/>
  <c r="BB32" i="1"/>
  <c r="BB14" i="1"/>
  <c r="BB10" i="1"/>
  <c r="BB5" i="1"/>
  <c r="BB21" i="1"/>
  <c r="BB27" i="1"/>
  <c r="BB30" i="1"/>
  <c r="BB15" i="1"/>
  <c r="BB20" i="1"/>
  <c r="BB26" i="1"/>
  <c r="BB22" i="1"/>
  <c r="AZ24" i="1"/>
  <c r="AZ19" i="1"/>
  <c r="AZ18" i="1"/>
  <c r="AZ6" i="1"/>
  <c r="AZ17" i="1"/>
  <c r="AZ8" i="1"/>
  <c r="AZ13" i="1"/>
  <c r="AZ11" i="1"/>
  <c r="AZ23" i="1"/>
  <c r="AZ28" i="1"/>
  <c r="AZ25" i="1"/>
  <c r="AZ4" i="1"/>
  <c r="AZ7" i="1"/>
  <c r="AZ16" i="1"/>
  <c r="AZ9" i="1"/>
  <c r="AZ12" i="1"/>
  <c r="AZ31" i="1"/>
  <c r="AZ29" i="1"/>
  <c r="AZ32" i="1"/>
  <c r="AZ14" i="1"/>
  <c r="AZ10" i="1"/>
  <c r="AZ5" i="1"/>
  <c r="AZ21" i="1"/>
  <c r="AZ27" i="1"/>
  <c r="AZ30" i="1"/>
  <c r="AZ15" i="1"/>
  <c r="AZ20" i="1"/>
  <c r="AZ26" i="1"/>
  <c r="AZ22" i="1"/>
  <c r="AX24" i="1"/>
  <c r="AX19" i="1"/>
  <c r="AX18" i="1"/>
  <c r="AX6" i="1"/>
  <c r="AX17" i="1"/>
  <c r="AX8" i="1"/>
  <c r="AX13" i="1"/>
  <c r="AX11" i="1"/>
  <c r="AX23" i="1"/>
  <c r="AX28" i="1"/>
  <c r="AX25" i="1"/>
  <c r="AX4" i="1"/>
  <c r="AX7" i="1"/>
  <c r="AX16" i="1"/>
  <c r="AX9" i="1"/>
  <c r="AX12" i="1"/>
  <c r="AX31" i="1"/>
  <c r="AX29" i="1"/>
  <c r="AX14" i="1"/>
  <c r="AX32" i="1"/>
  <c r="AX10" i="1"/>
  <c r="AX5" i="1"/>
  <c r="AX21" i="1"/>
  <c r="AX27" i="1"/>
  <c r="AX30" i="1"/>
  <c r="AX15" i="1"/>
  <c r="AX20" i="1"/>
  <c r="AX26" i="1"/>
  <c r="AX22" i="1"/>
  <c r="AV24" i="1"/>
  <c r="AV19" i="1"/>
  <c r="AV18" i="1"/>
  <c r="AV6" i="1"/>
  <c r="AV17" i="1"/>
  <c r="AV8" i="1"/>
  <c r="AV13" i="1"/>
  <c r="AV11" i="1"/>
  <c r="AV23" i="1"/>
  <c r="AV28" i="1"/>
  <c r="AV25" i="1"/>
  <c r="AV4" i="1"/>
  <c r="AV7" i="1"/>
  <c r="AV16" i="1"/>
  <c r="AV9" i="1"/>
  <c r="AV12" i="1"/>
  <c r="AV31" i="1"/>
  <c r="AV29" i="1"/>
  <c r="AV14" i="1"/>
  <c r="AV32" i="1"/>
  <c r="AV10" i="1"/>
  <c r="AV5" i="1"/>
  <c r="AV21" i="1"/>
  <c r="AV27" i="1"/>
  <c r="AV30" i="1"/>
  <c r="AV15" i="1"/>
  <c r="AV20" i="1"/>
  <c r="AV26" i="1"/>
  <c r="AV22" i="1"/>
  <c r="AM24" i="1"/>
  <c r="AM19" i="1"/>
  <c r="AM18" i="1"/>
  <c r="AM6" i="1"/>
  <c r="AM17" i="1"/>
  <c r="AM8" i="1"/>
  <c r="AM13" i="1"/>
  <c r="AM11" i="1"/>
  <c r="AM23" i="1"/>
  <c r="AM28" i="1"/>
  <c r="AM25" i="1"/>
  <c r="AM4" i="1"/>
  <c r="AM7" i="1"/>
  <c r="AM16" i="1"/>
  <c r="AM12" i="1"/>
  <c r="AM31" i="1"/>
  <c r="AM29" i="1"/>
  <c r="AM32" i="1"/>
  <c r="AM14" i="1"/>
  <c r="AM10" i="1"/>
  <c r="AM5" i="1"/>
  <c r="AM21" i="1"/>
  <c r="AM27" i="1"/>
  <c r="AM30" i="1"/>
  <c r="AM15" i="1"/>
  <c r="AM20" i="1"/>
  <c r="AM26" i="1"/>
  <c r="AM22" i="1"/>
  <c r="AK19" i="1"/>
  <c r="AK6" i="1"/>
  <c r="AK4" i="1"/>
  <c r="AK32" i="1"/>
  <c r="AK18" i="1"/>
  <c r="AK17" i="1"/>
  <c r="AK14" i="1"/>
  <c r="AK8" i="1"/>
  <c r="AK21" i="1"/>
  <c r="AK27" i="1"/>
  <c r="AK30" i="1"/>
  <c r="AK13" i="1"/>
  <c r="AK23" i="1"/>
  <c r="AK7" i="1"/>
  <c r="AK5" i="1"/>
  <c r="AK15" i="1"/>
  <c r="AK11" i="1"/>
  <c r="AK25" i="1"/>
  <c r="AK16" i="1"/>
  <c r="AK10" i="1"/>
  <c r="AK28" i="1"/>
  <c r="AK29" i="1"/>
  <c r="AK26" i="1"/>
  <c r="AK12" i="1"/>
  <c r="AK31" i="1"/>
  <c r="AK22" i="1"/>
  <c r="AK24" i="1"/>
  <c r="AK9" i="1"/>
  <c r="AL9" i="1" s="1"/>
  <c r="AM9" i="1" s="1"/>
  <c r="AK20" i="1"/>
  <c r="AI24" i="1"/>
  <c r="AI19" i="1"/>
  <c r="AI18" i="1"/>
  <c r="AI6" i="1"/>
  <c r="AI17" i="1"/>
  <c r="AI8" i="1"/>
  <c r="AI13" i="1"/>
  <c r="AI11" i="1"/>
  <c r="AI23" i="1"/>
  <c r="AI28" i="1"/>
  <c r="AI25" i="1"/>
  <c r="AI4" i="1"/>
  <c r="AI7" i="1"/>
  <c r="AI16" i="1"/>
  <c r="AI9" i="1"/>
  <c r="AI12" i="1"/>
  <c r="AI31" i="1"/>
  <c r="AI29" i="1"/>
  <c r="AI32" i="1"/>
  <c r="AI14" i="1"/>
  <c r="AI10" i="1"/>
  <c r="AI5" i="1"/>
  <c r="AI21" i="1"/>
  <c r="AI27" i="1"/>
  <c r="AI15" i="1"/>
  <c r="AI20" i="1"/>
  <c r="AI26" i="1"/>
  <c r="AI22" i="1"/>
  <c r="AG18" i="1"/>
  <c r="AG6" i="1"/>
  <c r="AG17" i="1"/>
  <c r="AG8" i="1"/>
  <c r="AG23" i="1"/>
  <c r="AG28" i="1"/>
  <c r="AG25" i="1"/>
  <c r="AG16" i="1"/>
  <c r="AG9" i="1"/>
  <c r="AG12" i="1"/>
  <c r="AG31" i="1"/>
  <c r="AG29" i="1"/>
  <c r="AG14" i="1"/>
  <c r="AG10" i="1"/>
  <c r="AG5" i="1"/>
  <c r="AG15" i="1"/>
  <c r="AG20" i="1"/>
  <c r="AE24" i="1"/>
  <c r="AE19" i="1"/>
  <c r="AE18" i="1"/>
  <c r="AE6" i="1"/>
  <c r="AE17" i="1"/>
  <c r="AE8" i="1"/>
  <c r="AE13" i="1"/>
  <c r="AE11" i="1"/>
  <c r="AE23" i="1"/>
  <c r="AE28" i="1"/>
  <c r="AE25" i="1"/>
  <c r="AE4" i="1"/>
  <c r="AE7" i="1"/>
  <c r="AE16" i="1"/>
  <c r="AE9" i="1"/>
  <c r="AE12" i="1"/>
  <c r="AE31" i="1"/>
  <c r="AE29" i="1"/>
  <c r="AE32" i="1"/>
  <c r="AE14" i="1"/>
  <c r="AE10" i="1"/>
  <c r="AE5" i="1"/>
  <c r="AE21" i="1"/>
  <c r="AE27" i="1"/>
  <c r="AE30" i="1"/>
  <c r="AE15" i="1"/>
  <c r="AE20" i="1"/>
  <c r="AE26" i="1"/>
  <c r="AE22" i="1"/>
  <c r="Q24" i="1"/>
  <c r="Q19" i="1"/>
  <c r="Q18" i="1"/>
  <c r="Q6" i="1"/>
  <c r="Q17" i="1"/>
  <c r="Q8" i="1"/>
  <c r="Q13" i="1"/>
  <c r="Q11" i="1"/>
  <c r="Q23" i="1"/>
  <c r="Q28" i="1"/>
  <c r="Q25" i="1"/>
  <c r="Q4" i="1"/>
  <c r="Q7" i="1"/>
  <c r="Q16" i="1"/>
  <c r="Q9" i="1"/>
  <c r="Q12" i="1"/>
  <c r="Q31" i="1"/>
  <c r="Q29" i="1"/>
  <c r="Q32" i="1"/>
  <c r="Q14" i="1"/>
  <c r="Q10" i="1"/>
  <c r="Q5" i="1"/>
  <c r="Q21" i="1"/>
  <c r="Q27" i="1"/>
  <c r="Q30" i="1"/>
  <c r="Q15" i="1"/>
  <c r="Q20" i="1"/>
  <c r="Q26" i="1"/>
  <c r="Q22" i="1"/>
  <c r="O24" i="1"/>
  <c r="O19" i="1"/>
  <c r="O18" i="1"/>
  <c r="O6" i="1"/>
  <c r="O17" i="1"/>
  <c r="O8" i="1"/>
  <c r="O13" i="1"/>
  <c r="O11" i="1"/>
  <c r="O23" i="1"/>
  <c r="O28" i="1"/>
  <c r="O25" i="1"/>
  <c r="O4" i="1"/>
  <c r="O7" i="1"/>
  <c r="O16" i="1"/>
  <c r="O9" i="1"/>
  <c r="O12" i="1"/>
  <c r="O31" i="1"/>
  <c r="O29" i="1"/>
  <c r="O32" i="1"/>
  <c r="O14" i="1"/>
  <c r="O10" i="1"/>
  <c r="O5" i="1"/>
  <c r="O21" i="1"/>
  <c r="O27" i="1"/>
  <c r="O30" i="1"/>
  <c r="O15" i="1"/>
  <c r="O20" i="1"/>
  <c r="O26" i="1"/>
  <c r="O22" i="1"/>
  <c r="AC19" i="1"/>
  <c r="AC24" i="1"/>
  <c r="AC18" i="1"/>
  <c r="AC6" i="1"/>
  <c r="AC17" i="1"/>
  <c r="AC8" i="1"/>
  <c r="AC13" i="1"/>
  <c r="AC11" i="1"/>
  <c r="AC23" i="1"/>
  <c r="AC28" i="1"/>
  <c r="AC25" i="1"/>
  <c r="AC4" i="1"/>
  <c r="AC7" i="1"/>
  <c r="AC16" i="1"/>
  <c r="AC9" i="1"/>
  <c r="AC12" i="1"/>
  <c r="AC31" i="1"/>
  <c r="AC29" i="1"/>
  <c r="AC32" i="1"/>
  <c r="AC14" i="1"/>
  <c r="AC10" i="1"/>
  <c r="AC5" i="1"/>
  <c r="AC21" i="1"/>
  <c r="AC27" i="1"/>
  <c r="AC30" i="1"/>
  <c r="AC15" i="1"/>
  <c r="AC20" i="1"/>
  <c r="AC26" i="1"/>
  <c r="AC22" i="1"/>
  <c r="M24" i="1"/>
  <c r="M19" i="1"/>
  <c r="M18" i="1"/>
  <c r="M6" i="1"/>
  <c r="M17" i="1"/>
  <c r="M8" i="1"/>
  <c r="M13" i="1"/>
  <c r="M11" i="1"/>
  <c r="M23" i="1"/>
  <c r="M28" i="1"/>
  <c r="M25" i="1"/>
  <c r="M4" i="1"/>
  <c r="M7" i="1"/>
  <c r="M16" i="1"/>
  <c r="M9" i="1"/>
  <c r="M12" i="1"/>
  <c r="M31" i="1"/>
  <c r="M29" i="1"/>
  <c r="M32" i="1"/>
  <c r="M14" i="1"/>
  <c r="M10" i="1"/>
  <c r="M5" i="1"/>
  <c r="M21" i="1"/>
  <c r="M27" i="1"/>
  <c r="M30" i="1"/>
  <c r="M15" i="1"/>
  <c r="M20" i="1"/>
  <c r="M26" i="1"/>
  <c r="M22" i="1"/>
  <c r="T19" i="1" a="1"/>
  <c r="T19" i="1" s="1"/>
  <c r="T6" i="1" a="1"/>
  <c r="T6" i="1" s="1"/>
  <c r="T32" i="1" a="1"/>
  <c r="T32" i="1" s="1"/>
  <c r="T4" i="1" a="1"/>
  <c r="T4" i="1" s="1"/>
  <c r="T18" i="1" a="1"/>
  <c r="T18" i="1" s="1"/>
  <c r="T17" i="1" a="1"/>
  <c r="T17" i="1" s="1"/>
  <c r="T14" i="1" a="1"/>
  <c r="T14" i="1" s="1"/>
  <c r="T8" i="1" a="1"/>
  <c r="T8" i="1" s="1"/>
  <c r="T21" i="1" a="1"/>
  <c r="T21" i="1" s="1"/>
  <c r="T30" i="1" a="1"/>
  <c r="T30" i="1" s="1"/>
  <c r="T27" i="1" a="1"/>
  <c r="T27" i="1" s="1"/>
  <c r="T13" i="1" a="1"/>
  <c r="T13" i="1" s="1"/>
  <c r="T7" i="1" a="1"/>
  <c r="T7" i="1" s="1"/>
  <c r="T5" i="1" a="1"/>
  <c r="T5" i="1" s="1"/>
  <c r="T15" i="1" a="1"/>
  <c r="T15" i="1" s="1"/>
  <c r="T11" i="1" a="1"/>
  <c r="T11" i="1" s="1"/>
  <c r="T25" i="1" a="1"/>
  <c r="T25" i="1" s="1"/>
  <c r="T16" i="1" a="1"/>
  <c r="T16" i="1" s="1"/>
  <c r="T10" i="1" a="1"/>
  <c r="T10" i="1" s="1"/>
  <c r="T28" i="1" a="1"/>
  <c r="T28" i="1" s="1"/>
  <c r="T29" i="1" a="1"/>
  <c r="T29" i="1" s="1"/>
  <c r="T26" i="1" a="1"/>
  <c r="T26" i="1" s="1"/>
  <c r="T12" i="1" a="1"/>
  <c r="T12" i="1" s="1"/>
  <c r="T31" i="1" a="1"/>
  <c r="T31" i="1" s="1"/>
  <c r="T22" i="1" a="1"/>
  <c r="T22" i="1" s="1"/>
  <c r="T24" i="1" a="1"/>
  <c r="T24" i="1" s="1"/>
  <c r="T23" i="1" a="1"/>
  <c r="T23" i="1" s="1"/>
  <c r="T9" i="1" a="1"/>
  <c r="T9" i="1" s="1"/>
  <c r="T20" i="1" a="1"/>
  <c r="T20" i="1" s="1"/>
  <c r="K19" i="1"/>
  <c r="K18" i="1"/>
  <c r="K6" i="1"/>
  <c r="K17" i="1"/>
  <c r="K8" i="1"/>
  <c r="K13" i="1"/>
  <c r="K11" i="1"/>
  <c r="K23" i="1"/>
  <c r="K28" i="1"/>
  <c r="K25" i="1"/>
  <c r="K4" i="1"/>
  <c r="K7" i="1"/>
  <c r="K16" i="1"/>
  <c r="K9" i="1"/>
  <c r="K12" i="1"/>
  <c r="K31" i="1"/>
  <c r="K29" i="1"/>
  <c r="K14" i="1"/>
  <c r="K32" i="1"/>
  <c r="K10" i="1"/>
  <c r="K5" i="1"/>
  <c r="K21" i="1"/>
  <c r="K27" i="1"/>
  <c r="K30" i="1"/>
  <c r="K15" i="1"/>
  <c r="K20" i="1"/>
  <c r="K26" i="1"/>
  <c r="K22" i="1"/>
  <c r="K24" i="1"/>
  <c r="I19" i="1"/>
  <c r="I18" i="1"/>
  <c r="I6" i="1"/>
  <c r="I17" i="1"/>
  <c r="I8" i="1"/>
  <c r="I13" i="1"/>
  <c r="I11" i="1"/>
  <c r="I23" i="1"/>
  <c r="I28" i="1"/>
  <c r="I25" i="1"/>
  <c r="I4" i="1"/>
  <c r="I7" i="1"/>
  <c r="I16" i="1"/>
  <c r="I9" i="1"/>
  <c r="I12" i="1"/>
  <c r="I31" i="1"/>
  <c r="I29" i="1"/>
  <c r="I14" i="1"/>
  <c r="I32" i="1"/>
  <c r="I10" i="1"/>
  <c r="I5" i="1"/>
  <c r="I21" i="1"/>
  <c r="I27" i="1"/>
  <c r="I30" i="1"/>
  <c r="I15" i="1"/>
  <c r="I20" i="1"/>
  <c r="I26" i="1"/>
  <c r="I22" i="1"/>
  <c r="I24" i="1"/>
  <c r="G19" i="1"/>
  <c r="G18" i="1"/>
  <c r="G6" i="1"/>
  <c r="G17" i="1"/>
  <c r="G8" i="1"/>
  <c r="G13" i="1"/>
  <c r="G11" i="1"/>
  <c r="G23" i="1"/>
  <c r="G28" i="1"/>
  <c r="G25" i="1"/>
  <c r="G4" i="1"/>
  <c r="G7" i="1"/>
  <c r="G16" i="1"/>
  <c r="G9" i="1"/>
  <c r="G12" i="1"/>
  <c r="G31" i="1"/>
  <c r="G29" i="1"/>
  <c r="G14" i="1"/>
  <c r="G32" i="1"/>
  <c r="G10" i="1"/>
  <c r="G5" i="1"/>
  <c r="G21" i="1"/>
  <c r="G27" i="1"/>
  <c r="G30" i="1"/>
  <c r="G15" i="1"/>
  <c r="G20" i="1"/>
  <c r="G26" i="1"/>
  <c r="G22" i="1"/>
  <c r="G24" i="1"/>
  <c r="BH21" i="1" l="1"/>
  <c r="BN21" i="1" s="1"/>
  <c r="BH11" i="1"/>
  <c r="BN11" i="1" s="1"/>
  <c r="BH24" i="1"/>
  <c r="BN24" i="1" s="1"/>
  <c r="BH9" i="1"/>
  <c r="BN9" i="1" s="1"/>
  <c r="BH26" i="1"/>
  <c r="BN26" i="1" s="1"/>
  <c r="BH20" i="1"/>
  <c r="BN20" i="1" s="1"/>
  <c r="BH16" i="1"/>
  <c r="BN16" i="1" s="1"/>
  <c r="BH7" i="1"/>
  <c r="BN7" i="1" s="1"/>
  <c r="BH17" i="1"/>
  <c r="BN17" i="1" s="1"/>
  <c r="BH8" i="1"/>
  <c r="BN8" i="1" s="1"/>
  <c r="BH32" i="1"/>
  <c r="BN32" i="1" s="1"/>
  <c r="BH4" i="1"/>
  <c r="BN4" i="1" s="1"/>
  <c r="BH15" i="1"/>
  <c r="BN15" i="1" s="1"/>
  <c r="BH14" i="1"/>
  <c r="BN14" i="1" s="1"/>
  <c r="BH25" i="1"/>
  <c r="BN25" i="1" s="1"/>
  <c r="BH6" i="1"/>
  <c r="BN6" i="1" s="1"/>
  <c r="BH13" i="1"/>
  <c r="BN13" i="1" s="1"/>
  <c r="BH10" i="1"/>
  <c r="BN10" i="1" s="1"/>
  <c r="BH30" i="1"/>
  <c r="BN30" i="1" s="1"/>
  <c r="BH29" i="1"/>
  <c r="BN29" i="1" s="1"/>
  <c r="BH28" i="1"/>
  <c r="BN28" i="1" s="1"/>
  <c r="BH18" i="1"/>
  <c r="BN18" i="1" s="1"/>
  <c r="BH5" i="1"/>
  <c r="BN5" i="1" s="1"/>
  <c r="BH27" i="1"/>
  <c r="BN27" i="1" s="1"/>
  <c r="BH31" i="1"/>
  <c r="BN31" i="1" s="1"/>
  <c r="BH23" i="1"/>
  <c r="BN23" i="1" s="1"/>
  <c r="BH19" i="1"/>
  <c r="BN19" i="1" s="1"/>
  <c r="BH12" i="1"/>
  <c r="BN12" i="1" s="1"/>
  <c r="BH22" i="1"/>
  <c r="BN22" i="1" s="1"/>
  <c r="AN20" i="1"/>
  <c r="AQ20" i="1" s="1"/>
  <c r="AN22" i="1"/>
  <c r="AQ22" i="1" s="1"/>
  <c r="AN26" i="1"/>
  <c r="AQ26" i="1" s="1"/>
  <c r="AN17" i="1"/>
  <c r="AQ17" i="1" s="1"/>
  <c r="AN13" i="1"/>
  <c r="AQ13" i="1" s="1"/>
  <c r="AN8" i="1"/>
  <c r="AQ8" i="1" s="1"/>
  <c r="AN30" i="1"/>
  <c r="AQ30" i="1" s="1"/>
  <c r="AN12" i="1"/>
  <c r="AQ12" i="1" s="1"/>
  <c r="AN5" i="1"/>
  <c r="AQ5" i="1" s="1"/>
  <c r="AN4" i="1"/>
  <c r="AQ4" i="1" s="1"/>
  <c r="AN19" i="1"/>
  <c r="AQ19" i="1" s="1"/>
  <c r="AN29" i="1"/>
  <c r="AQ29" i="1" s="1"/>
  <c r="AN27" i="1"/>
  <c r="AQ27" i="1" s="1"/>
  <c r="AN16" i="1"/>
  <c r="AQ16" i="1" s="1"/>
  <c r="AN32" i="1"/>
  <c r="AQ32" i="1" s="1"/>
  <c r="AN11" i="1"/>
  <c r="AQ11" i="1" s="1"/>
  <c r="AN31" i="1"/>
  <c r="AQ31" i="1" s="1"/>
  <c r="AN15" i="1"/>
  <c r="AQ15" i="1" s="1"/>
  <c r="AN9" i="1"/>
  <c r="AQ9" i="1" s="1"/>
  <c r="AN6" i="1"/>
  <c r="AQ6" i="1" s="1"/>
  <c r="AN21" i="1"/>
  <c r="AQ21" i="1" s="1"/>
  <c r="AN7" i="1"/>
  <c r="AQ7" i="1" s="1"/>
  <c r="AN18" i="1"/>
  <c r="AQ18" i="1" s="1"/>
  <c r="AN24" i="1"/>
  <c r="AQ24" i="1" s="1"/>
  <c r="AN10" i="1"/>
  <c r="AQ10" i="1" s="1"/>
  <c r="AN25" i="1"/>
  <c r="AQ25" i="1" s="1"/>
  <c r="AN28" i="1"/>
  <c r="AQ28" i="1" s="1"/>
  <c r="AN14" i="1"/>
  <c r="AQ14" i="1" s="1"/>
  <c r="AN23" i="1"/>
  <c r="AQ23" i="1" s="1"/>
  <c r="R31" i="1"/>
  <c r="AA31" i="1" s="1"/>
  <c r="R8" i="1"/>
  <c r="AA8" i="1" s="1"/>
  <c r="R26" i="1"/>
  <c r="AA26" i="1" s="1"/>
  <c r="R24" i="1"/>
  <c r="AA24" i="1" s="1"/>
  <c r="BO24" i="1" s="1"/>
  <c r="R14" i="1"/>
  <c r="AA14" i="1" s="1"/>
  <c r="R11" i="1"/>
  <c r="AA11" i="1" s="1"/>
  <c r="R9" i="1"/>
  <c r="AA9" i="1" s="1"/>
  <c r="R30" i="1"/>
  <c r="AA30" i="1" s="1"/>
  <c r="R22" i="1"/>
  <c r="AA22" i="1" s="1"/>
  <c r="R29" i="1"/>
  <c r="AA29" i="1" s="1"/>
  <c r="R13" i="1"/>
  <c r="AA13" i="1" s="1"/>
  <c r="R15" i="1"/>
  <c r="AA15" i="1" s="1"/>
  <c r="R27" i="1"/>
  <c r="AA27" i="1" s="1"/>
  <c r="R16" i="1"/>
  <c r="AA16" i="1" s="1"/>
  <c r="BO16" i="1" s="1"/>
  <c r="R6" i="1"/>
  <c r="AA6" i="1" s="1"/>
  <c r="BO6" i="1" s="1"/>
  <c r="R17" i="1"/>
  <c r="AA17" i="1" s="1"/>
  <c r="BO17" i="1" s="1"/>
  <c r="R21" i="1"/>
  <c r="AA21" i="1" s="1"/>
  <c r="R7" i="1"/>
  <c r="AA7" i="1" s="1"/>
  <c r="BO7" i="1" s="1"/>
  <c r="R18" i="1"/>
  <c r="AA18" i="1" s="1"/>
  <c r="R20" i="1"/>
  <c r="AA20" i="1" s="1"/>
  <c r="R5" i="1"/>
  <c r="AA5" i="1" s="1"/>
  <c r="R4" i="1"/>
  <c r="AA4" i="1" s="1"/>
  <c r="R19" i="1"/>
  <c r="AA19" i="1" s="1"/>
  <c r="R12" i="1"/>
  <c r="AA12" i="1" s="1"/>
  <c r="R10" i="1"/>
  <c r="AA10" i="1" s="1"/>
  <c r="R25" i="1"/>
  <c r="AA25" i="1" s="1"/>
  <c r="R28" i="1"/>
  <c r="AA28" i="1" s="1"/>
  <c r="R32" i="1"/>
  <c r="AA32" i="1" s="1"/>
  <c r="R23" i="1"/>
  <c r="AA23" i="1" s="1"/>
  <c r="BO23" i="1" l="1"/>
  <c r="BO27" i="1"/>
  <c r="BO28" i="1"/>
  <c r="BO18" i="1"/>
  <c r="BO13" i="1"/>
  <c r="BO8" i="1"/>
  <c r="BO10" i="1"/>
  <c r="BO21" i="1"/>
  <c r="BO29" i="1"/>
  <c r="BO22" i="1"/>
  <c r="BO30" i="1"/>
  <c r="BO12" i="1"/>
  <c r="BO32" i="1"/>
  <c r="BO14" i="1"/>
  <c r="BO25" i="1"/>
  <c r="BO31" i="1"/>
  <c r="BO19" i="1"/>
  <c r="BO9" i="1"/>
  <c r="BO4" i="1"/>
  <c r="BO5" i="1"/>
  <c r="BO11" i="1"/>
  <c r="BO20" i="1"/>
  <c r="BO15" i="1"/>
  <c r="BO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<sst xmlns="http://schemas.openxmlformats.org/spreadsheetml/2006/main" count="796" uniqueCount="355">
  <si>
    <t>Num</t>
  </si>
  <si>
    <t>Apellidos</t>
  </si>
  <si>
    <t>Nombres</t>
  </si>
  <si>
    <t>RODRIGUEZ VARGAS</t>
  </si>
  <si>
    <t>valentina.rodrigue_v@uao.edu.co</t>
  </si>
  <si>
    <t>VARGAS DELGADO</t>
  </si>
  <si>
    <t>laura_camila.vargas@uao.edu.co</t>
  </si>
  <si>
    <t>CASANOVA CADENA</t>
  </si>
  <si>
    <t>DELGADO MATABANCHOY</t>
  </si>
  <si>
    <t>juan_s.delgado_m@uao.edu.co</t>
  </si>
  <si>
    <t>ROMERO PEÑA</t>
  </si>
  <si>
    <t>isabella.romero_pena@uao.edu.co</t>
  </si>
  <si>
    <t>DIAGO VALDERRAMA</t>
  </si>
  <si>
    <t>miguel.diago@uao.edu.co</t>
  </si>
  <si>
    <t>CASTILLO SALAZAR</t>
  </si>
  <si>
    <t>juan_man.castillo@uao.edu.co</t>
  </si>
  <si>
    <t>ORTIZ RAMIREZ</t>
  </si>
  <si>
    <t>jazmin.ortiz@uao.edu.co</t>
  </si>
  <si>
    <t>ROJAS ROJAS</t>
  </si>
  <si>
    <t>rosa.rojas@uao.edu.co</t>
  </si>
  <si>
    <t>GUZMAN CASTIBLANCO</t>
  </si>
  <si>
    <t>estefania.guzman@uao.edu.co</t>
  </si>
  <si>
    <t>MONZON SANDOVAL</t>
  </si>
  <si>
    <t>oriana.monznn@uao.edu.co</t>
  </si>
  <si>
    <t>FERNANDEZ VELASCO</t>
  </si>
  <si>
    <t>ilse.fernandez@uao.edu.co</t>
  </si>
  <si>
    <t>LONDOÑO LOPEZ</t>
  </si>
  <si>
    <t>allison.londono@uao.edu.co</t>
  </si>
  <si>
    <t>CORREA SEGURA</t>
  </si>
  <si>
    <t>fernando_enr.correa@uao.edu.co</t>
  </si>
  <si>
    <t>GARCIA GARCIA</t>
  </si>
  <si>
    <t>harrison.garcia@uao.edu.co</t>
  </si>
  <si>
    <t>JIMENEZ CARDONA</t>
  </si>
  <si>
    <t>ana.jimenez_cardona@uao.edu.co</t>
  </si>
  <si>
    <t>GARCIA BENAVIDES</t>
  </si>
  <si>
    <t>ktalyna.garcia@uao.edu.co</t>
  </si>
  <si>
    <t>BERMUDEZ DIAZ</t>
  </si>
  <si>
    <t>juan_est.bermudez@uao.edu.co</t>
  </si>
  <si>
    <t>ORTEGA QUINTERO</t>
  </si>
  <si>
    <t>SANCHEZ SOLANO</t>
  </si>
  <si>
    <t>CALVO ARCE</t>
  </si>
  <si>
    <t>andres_felipe.calvo@uao.edu.co</t>
  </si>
  <si>
    <t>CABRERA TORO</t>
  </si>
  <si>
    <t>nicolas.cabrera@uao.edu.co</t>
  </si>
  <si>
    <t>MUÑOZ BECOCHE</t>
  </si>
  <si>
    <t>alejandra.munoz_b@uao.edu.co</t>
  </si>
  <si>
    <t>GUERRERO GIL</t>
  </si>
  <si>
    <t>juan_m.guerrero@uao.edu.co</t>
  </si>
  <si>
    <t>MUÑOZ BECERRA</t>
  </si>
  <si>
    <t>isabella.munoz_bec@uao.edu.co</t>
  </si>
  <si>
    <t>RUIZ LEDESMA</t>
  </si>
  <si>
    <t>maria_graciela.ruiz@uao.edu.co</t>
  </si>
  <si>
    <t>GUERRA CALVACHI</t>
  </si>
  <si>
    <t>santiago.guerra@uao.edu.co</t>
  </si>
  <si>
    <t>SWAYNE LOPEZ</t>
  </si>
  <si>
    <t>maria_p.gonzalez@uao.edu.co</t>
  </si>
  <si>
    <t>santiago.moncada@uao.edu.co</t>
  </si>
  <si>
    <t>valeria.mosquera@uao.edu.co</t>
  </si>
  <si>
    <t>rosa_gis.swayne@uao.edu.co</t>
  </si>
  <si>
    <t>maria_pau.velasquez@uao.edu.co</t>
  </si>
  <si>
    <t>id</t>
  </si>
  <si>
    <t>email</t>
  </si>
  <si>
    <t>ALLISON LONDOÑO LOPEZ</t>
  </si>
  <si>
    <t>ANA MARIA JIMENEZ CARDONA</t>
  </si>
  <si>
    <t>ESTEFANIA GUZMAN CASTIBLANCO</t>
  </si>
  <si>
    <t>FERNANDO ENRIQUE CORREA SEGURA</t>
  </si>
  <si>
    <t>KTALYNA GARCIA BENAVIDES</t>
  </si>
  <si>
    <t>LAURA CAMILA VARGAS DELGADO</t>
  </si>
  <si>
    <t>MIGUEL ANDRES DIAGO VALDERRAMA</t>
  </si>
  <si>
    <t>NICOLAS CABRERA TORO</t>
  </si>
  <si>
    <t>ORIANA MONZNN SANDOVAL</t>
  </si>
  <si>
    <t>Oscar Ivan Campo Salazar</t>
  </si>
  <si>
    <t>VALENTINA RODRIGUEZ VARGAS</t>
  </si>
  <si>
    <t>VALERIA MOSQUERA AMADOR</t>
  </si>
  <si>
    <t>Full Name</t>
  </si>
  <si>
    <t>Time in Call</t>
  </si>
  <si>
    <t xml:space="preserve"> JUAN ESTEBAN</t>
  </si>
  <si>
    <t xml:space="preserve"> NICOLAS</t>
  </si>
  <si>
    <t xml:space="preserve"> ANDRES FELIPE</t>
  </si>
  <si>
    <t xml:space="preserve"> CRISTIAN NICOLAS</t>
  </si>
  <si>
    <t xml:space="preserve"> JUAN MANUEL</t>
  </si>
  <si>
    <t xml:space="preserve"> FERNANDO ENRIQUE</t>
  </si>
  <si>
    <t xml:space="preserve"> JUAN SEBASTIAN</t>
  </si>
  <si>
    <t xml:space="preserve"> MIGUEL ANDRES</t>
  </si>
  <si>
    <t xml:space="preserve"> ILSE</t>
  </si>
  <si>
    <t xml:space="preserve"> KTALYNA</t>
  </si>
  <si>
    <t xml:space="preserve"> HARRISON</t>
  </si>
  <si>
    <t>GONZALEZ PARRA</t>
  </si>
  <si>
    <t xml:space="preserve"> MARIA PAULA</t>
  </si>
  <si>
    <t xml:space="preserve"> SANTIAGO</t>
  </si>
  <si>
    <t xml:space="preserve"> ESTEFANIA</t>
  </si>
  <si>
    <t xml:space="preserve"> ANA MARIA</t>
  </si>
  <si>
    <t xml:space="preserve"> ALLISON</t>
  </si>
  <si>
    <t>MONCADA CASALLAS</t>
  </si>
  <si>
    <t xml:space="preserve"> ORIANA</t>
  </si>
  <si>
    <t>MOSQUERA AMADOR</t>
  </si>
  <si>
    <t xml:space="preserve"> VALERIA</t>
  </si>
  <si>
    <t xml:space="preserve"> ISABELLA</t>
  </si>
  <si>
    <t xml:space="preserve"> ALEJANDRA</t>
  </si>
  <si>
    <t xml:space="preserve"> DAVID</t>
  </si>
  <si>
    <t xml:space="preserve"> JAZMIN ALEJANDRA</t>
  </si>
  <si>
    <t xml:space="preserve"> VALENTINA</t>
  </si>
  <si>
    <t xml:space="preserve"> ROSA CATHERINE</t>
  </si>
  <si>
    <t xml:space="preserve"> MARIA GRACIELA</t>
  </si>
  <si>
    <t xml:space="preserve"> MAYLIN</t>
  </si>
  <si>
    <t xml:space="preserve"> ROSA GISELLE</t>
  </si>
  <si>
    <t xml:space="preserve"> LAURA CAMILA</t>
  </si>
  <si>
    <t>VELASQUEZ YEPES</t>
  </si>
  <si>
    <t>VIVAS RODRIGUEZ</t>
  </si>
  <si>
    <t xml:space="preserve"> JULIANA</t>
  </si>
  <si>
    <t>ROSA CATHERINE ROJAS ROJAS</t>
  </si>
  <si>
    <t>JAZMIN ALEJANDRA ORTIZ RAMIREZ</t>
  </si>
  <si>
    <t>Asistencia</t>
  </si>
  <si>
    <t>T.Conexión</t>
  </si>
  <si>
    <t>%Conexión</t>
  </si>
  <si>
    <t>T.Conexión2</t>
  </si>
  <si>
    <t>%Conexión3</t>
  </si>
  <si>
    <t>T.Conexión4</t>
  </si>
  <si>
    <t>%Conexión5</t>
  </si>
  <si>
    <t>T.Conexión6</t>
  </si>
  <si>
    <t>%Conexión7</t>
  </si>
  <si>
    <t>T.Encuentro</t>
  </si>
  <si>
    <t xml:space="preserve">T.Encuentro: </t>
  </si>
  <si>
    <t>Semana 1:</t>
  </si>
  <si>
    <t xml:space="preserve">Semana 2: </t>
  </si>
  <si>
    <t xml:space="preserve">Semana 3: </t>
  </si>
  <si>
    <t xml:space="preserve">Semana 4: </t>
  </si>
  <si>
    <t xml:space="preserve">Semana 5: </t>
  </si>
  <si>
    <t xml:space="preserve">Semana 6: </t>
  </si>
  <si>
    <t>Grupo</t>
  </si>
  <si>
    <t>Gesto Asignado</t>
  </si>
  <si>
    <t>Gesto correspondiente a la palabra "Tortuga" en el lenguaje de señas colombiano</t>
  </si>
  <si>
    <t>Gesto correspondiente a la palabra "Ratón" en el lenguaje de señas colombiano</t>
  </si>
  <si>
    <t>Gesto correspondiente a la palabra "Oveja" en el lenguaje de señas colombiano</t>
  </si>
  <si>
    <t>Gesto correspondiente a la palabra "Caracol" en el lenguaje de señas colombiano</t>
  </si>
  <si>
    <t>Gesto correspondiente a la palabra "Caballo" en el lenguaje de señas colombiano</t>
  </si>
  <si>
    <t>Gesto correspondiente a la palabra "Flor" en el lenguaje de señas colombiano</t>
  </si>
  <si>
    <t>Gesto correspondiente a la palabra "Durazno" en el lenguaje de señas colombiano</t>
  </si>
  <si>
    <t>DICOM craneal</t>
  </si>
  <si>
    <t xml:space="preserve">Apellidos </t>
  </si>
  <si>
    <t>Archivo</t>
  </si>
  <si>
    <t>CRANEAL 01.zip</t>
  </si>
  <si>
    <t>CRANEAL 02.zip</t>
  </si>
  <si>
    <t>CRANEAL 03.zip</t>
  </si>
  <si>
    <t>CRANEAL 04.zip</t>
  </si>
  <si>
    <t>CRANEAL 05.zip</t>
  </si>
  <si>
    <t>CRANEAL 06.zip</t>
  </si>
  <si>
    <t>CRANEAL 07.zip</t>
  </si>
  <si>
    <t>CRANEAL 08.zip</t>
  </si>
  <si>
    <t>CRANEAL 09.zip</t>
  </si>
  <si>
    <t>CRANEAL 10.zip</t>
  </si>
  <si>
    <t>CRANEAL 11.zip</t>
  </si>
  <si>
    <t>CRANEAL 12.zip</t>
  </si>
  <si>
    <t>CRANEAL 13.zip</t>
  </si>
  <si>
    <t>CRANEAL 15.zip</t>
  </si>
  <si>
    <t>CRANEAL 14.zip</t>
  </si>
  <si>
    <t>CRANEAL 16.zip</t>
  </si>
  <si>
    <t>CRANEAL 17.zip</t>
  </si>
  <si>
    <t>CRANEAL 18.zip</t>
  </si>
  <si>
    <t>CRANEAL 19.zip</t>
  </si>
  <si>
    <t>CRANEAL 20.zip</t>
  </si>
  <si>
    <t>CRANEAL 21.zip</t>
  </si>
  <si>
    <t>CRANEAL 22.zip</t>
  </si>
  <si>
    <t>CRANEAL 23.zip</t>
  </si>
  <si>
    <t>CRANEAL 24.zip</t>
  </si>
  <si>
    <t>CRANEAL 25.zip</t>
  </si>
  <si>
    <t>CRANEAL 26.zip</t>
  </si>
  <si>
    <t>CRANEAL 27.zip</t>
  </si>
  <si>
    <t>CRANEAL 28.zip</t>
  </si>
  <si>
    <t>JUAN ESTEBAN BERMUDEZ DIAZ</t>
  </si>
  <si>
    <t>MARIA PAULA VELASQUEZ YEPES</t>
  </si>
  <si>
    <t>%Conexión2</t>
  </si>
  <si>
    <t>T.Conexión3</t>
  </si>
  <si>
    <t>%Conexión4</t>
  </si>
  <si>
    <t>T.Conexión5</t>
  </si>
  <si>
    <t>%Conexión6</t>
  </si>
  <si>
    <t>T.Conexión7</t>
  </si>
  <si>
    <t xml:space="preserve">Conceptos fundamentales (Semana 1) </t>
  </si>
  <si>
    <t xml:space="preserve">Operaciones sobre piezas (Semana 2) </t>
  </si>
  <si>
    <t xml:space="preserve">Escaneo de partes anatómicas (Semana 6) </t>
  </si>
  <si>
    <t xml:space="preserve">Operaciones básicas para Modelado de Superficies 
(Semana 3) </t>
  </si>
  <si>
    <t xml:space="preserve">Modelado avanzado y reparación de Superficies 
(Semana 4) </t>
  </si>
  <si>
    <t>Nota 1er Corte</t>
  </si>
  <si>
    <t xml:space="preserve">Modelado a partir de datos de scanner 
(Semana 5) </t>
  </si>
  <si>
    <t>Promedio tareas: 70%</t>
  </si>
  <si>
    <t>Asistencia: 30%</t>
  </si>
  <si>
    <t xml:space="preserve">Semana 7: </t>
  </si>
  <si>
    <t>%Conexión8</t>
  </si>
  <si>
    <t>T.Conexión8</t>
  </si>
  <si>
    <t xml:space="preserve">Semana 8: </t>
  </si>
  <si>
    <t>%Conexión9</t>
  </si>
  <si>
    <t>ANDRES FELIPE CALVO ARCE</t>
  </si>
  <si>
    <t>MARIA GRACIELA RUIZ LEDESMA</t>
  </si>
  <si>
    <t>SANTIAGO GUERRA CALVACHI</t>
  </si>
  <si>
    <t xml:space="preserve">Semana 9: </t>
  </si>
  <si>
    <t>Órganos Asignados</t>
  </si>
  <si>
    <t>bazo</t>
  </si>
  <si>
    <t>riñón derecho</t>
  </si>
  <si>
    <t>riñón izquierdo</t>
  </si>
  <si>
    <t>vesícula biliar</t>
  </si>
  <si>
    <t>hígado</t>
  </si>
  <si>
    <t>estómago</t>
  </si>
  <si>
    <t>páncreas</t>
  </si>
  <si>
    <t>pulmón izquierdo</t>
  </si>
  <si>
    <t>pulmón derecho</t>
  </si>
  <si>
    <t>esófago</t>
  </si>
  <si>
    <t>intestino delgado</t>
  </si>
  <si>
    <t>duodeno</t>
  </si>
  <si>
    <t>colon</t>
  </si>
  <si>
    <t>vejiga urinaria</t>
  </si>
  <si>
    <t>próstata</t>
  </si>
  <si>
    <t>Próstata</t>
  </si>
  <si>
    <t>ISABELLA ROMERO PENA</t>
  </si>
  <si>
    <t>T.Conexión9</t>
  </si>
  <si>
    <t>T.Conexión10</t>
  </si>
  <si>
    <t>%Conexión10</t>
  </si>
  <si>
    <t>Tejido óseo asignado</t>
  </si>
  <si>
    <t>sacro</t>
  </si>
  <si>
    <t>fémur izquierdo</t>
  </si>
  <si>
    <t>Diente 11</t>
  </si>
  <si>
    <t>Diente 37</t>
  </si>
  <si>
    <t>Maxilar</t>
  </si>
  <si>
    <t>S1</t>
  </si>
  <si>
    <t>fémur derecho</t>
  </si>
  <si>
    <t>Diente 12</t>
  </si>
  <si>
    <t>Diente 35</t>
  </si>
  <si>
    <t>Mandíbula</t>
  </si>
  <si>
    <t>L5</t>
  </si>
  <si>
    <t>Hueso Ilíaco izquierdo</t>
  </si>
  <si>
    <t>Diente 13</t>
  </si>
  <si>
    <t>Diente 34</t>
  </si>
  <si>
    <t>L4</t>
  </si>
  <si>
    <t>Hueso Ilíaco derecho</t>
  </si>
  <si>
    <t>Diente 14</t>
  </si>
  <si>
    <t>Diente 33</t>
  </si>
  <si>
    <t>L3</t>
  </si>
  <si>
    <t>costilla izquierda 6</t>
  </si>
  <si>
    <t>Diente 15</t>
  </si>
  <si>
    <t>Diente 32</t>
  </si>
  <si>
    <t>L2</t>
  </si>
  <si>
    <t>costilla izquierda 7</t>
  </si>
  <si>
    <t>Diente 16</t>
  </si>
  <si>
    <t>Diente 31</t>
  </si>
  <si>
    <t>L1</t>
  </si>
  <si>
    <t>costilla izquierda 8</t>
  </si>
  <si>
    <t>Diente 17</t>
  </si>
  <si>
    <t>Diente 47</t>
  </si>
  <si>
    <t>T12</t>
  </si>
  <si>
    <t>costilla izquierda 9</t>
  </si>
  <si>
    <t>Diente 21</t>
  </si>
  <si>
    <t>Diente 46</t>
  </si>
  <si>
    <t>T11</t>
  </si>
  <si>
    <t>costilla izquierda 10</t>
  </si>
  <si>
    <t>Diente 22</t>
  </si>
  <si>
    <t>Diente 45</t>
  </si>
  <si>
    <t>T10</t>
  </si>
  <si>
    <t>costilla izquierda 11</t>
  </si>
  <si>
    <t>Diente 23</t>
  </si>
  <si>
    <t>Diente 44</t>
  </si>
  <si>
    <t>T9</t>
  </si>
  <si>
    <t>costilla izquierda 12</t>
  </si>
  <si>
    <t>Diente 24</t>
  </si>
  <si>
    <t>Diente 43</t>
  </si>
  <si>
    <t>CONVENCIONES</t>
  </si>
  <si>
    <t>Enmascaramiento</t>
  </si>
  <si>
    <t>Zona de Corte</t>
  </si>
  <si>
    <t>Color</t>
  </si>
  <si>
    <t>Técnica</t>
  </si>
  <si>
    <t>Libre</t>
  </si>
  <si>
    <t>Uso de métricas</t>
  </si>
  <si>
    <t>r</t>
  </si>
  <si>
    <t>CT Liver: Segmentación automática y comparar con segmentación manual de 3 órganos</t>
  </si>
  <si>
    <t>CT Abdomen: Segmentación automática y comparar con segmentación manual de 3 órganos</t>
  </si>
  <si>
    <t>CT Cardio: Segmentación automática y comparar con segmentación manual de 3 órganos</t>
  </si>
  <si>
    <t>CT Abdomen (panoramix): Segmentación automática y comparar con segmentación manual de 3 órganos</t>
  </si>
  <si>
    <t>CT Chest: Segmentación automática y comparar con segmentación manual de 3 órganos o tejidos</t>
  </si>
  <si>
    <t>ILSE FERNANDEZ VELASCO</t>
  </si>
  <si>
    <t>ISABELLA MUNOZ BECERRA</t>
  </si>
  <si>
    <t>%Conexión11</t>
  </si>
  <si>
    <t>T.Conexión11</t>
  </si>
  <si>
    <t xml:space="preserve">Semana 10: </t>
  </si>
  <si>
    <t xml:space="preserve">Semana 11: </t>
  </si>
  <si>
    <t>%Conexión12</t>
  </si>
  <si>
    <t>T.Conexión12</t>
  </si>
  <si>
    <t xml:space="preserve">Semana 12: </t>
  </si>
  <si>
    <t>Asistencia 2o Corte</t>
  </si>
  <si>
    <t>Uso de scripts</t>
  </si>
  <si>
    <t>Corazón</t>
  </si>
  <si>
    <t>https://www.kaggle.com/datasets/kmader/finding-lungs-in-ct-data/data</t>
  </si>
  <si>
    <t>Tumor Cerebral</t>
  </si>
  <si>
    <t>https://www.kaggle.com/datasets/darksteeldragon/brats2020-nifti-format-for-deepmedic</t>
  </si>
  <si>
    <t>riñones</t>
  </si>
  <si>
    <t>https://www.kaggle.com/datasets/junyussh/tcga-kirp</t>
  </si>
  <si>
    <t>Tumor en Hígado</t>
  </si>
  <si>
    <t>https://www.kaggle.com/code/madhuri42/sdp-liver-segmentation</t>
  </si>
  <si>
    <t>https://www.kaggle.com/code/khaledsayedaaaaa/3d-mri-brain-tumor-segmentation-u-net-acc-99/input</t>
  </si>
  <si>
    <t>Pulmones (usen las imágenes 3D)</t>
  </si>
  <si>
    <t>https://www.kaggle.com/datasets/adarshsng/heart-mri-image-dataset-left-atrial-segmentation/data</t>
  </si>
  <si>
    <t>Páncreas</t>
  </si>
  <si>
    <t>Tarea:Introducción a 3DSlicer (Semana 8) (Real)</t>
  </si>
  <si>
    <t>Tarea:Segmentación Manual y Semi-Automática (Semana 10) (Real)</t>
  </si>
  <si>
    <t>Nota 2o Corte</t>
  </si>
  <si>
    <t>T.Conexión13</t>
  </si>
  <si>
    <t>%Conexión13</t>
  </si>
  <si>
    <t>JUAN MANUEL CASTILLO SALAZAR</t>
  </si>
  <si>
    <t xml:space="preserve">Semana 13: </t>
  </si>
  <si>
    <t>%Conexión14</t>
  </si>
  <si>
    <t>T.Conexión14</t>
  </si>
  <si>
    <t xml:space="preserve">Semana 14: </t>
  </si>
  <si>
    <t>Guía 1</t>
  </si>
  <si>
    <t>CT-Liver Fémur izq.</t>
  </si>
  <si>
    <t>CT-Liver Fémur der.</t>
  </si>
  <si>
    <t>%Conexión15</t>
  </si>
  <si>
    <t>%Conexión16</t>
  </si>
  <si>
    <t>Guía 2</t>
  </si>
  <si>
    <t>Guía 3</t>
  </si>
  <si>
    <t>https://drive.google.com/file/d/1UKYI8aEgFPXYCVomvusbK0FEXj_C21qt/view?usp=sharing</t>
  </si>
  <si>
    <t>Mandibula (lado der)</t>
  </si>
  <si>
    <t>Mandibula (lado izq)</t>
  </si>
  <si>
    <t>Mandíbula (lado der)</t>
  </si>
  <si>
    <t>Mandíbula (lado izq)</t>
  </si>
  <si>
    <t>Archivo Sample de 3D Slicer: CBCT- MR Head</t>
  </si>
  <si>
    <t>Archivo Sample de 3D Slicer: CBCTDentalSurgery: Pre Dental Surgery</t>
  </si>
  <si>
    <t>Archivo Sample de 3D Slicer: CBCTDentalSurgery: Post Dental Surgery</t>
  </si>
  <si>
    <t>https://drive.google.com/file/d/1D5vRi6mOSqsDbb885Oqgb8bB75Q5HPRr/view?usp=sharing</t>
  </si>
  <si>
    <t>https://drive.google.com/file/d/1OkRZCmaB2vymPkWxXspya_hDijiDJe9z/view?usp=sharing</t>
  </si>
  <si>
    <t>https://drive.google.com/file/d/1PPehENxnv1mJwFY7OLhcEx8tc1k1CoNw/view?usp=sharing</t>
  </si>
  <si>
    <t>https://drive.google.com/file/d/1R8ghynVtHtatpDEnWiEQ90VkaQFdPaFA/view?usp=sharing</t>
  </si>
  <si>
    <t>https://drive.google.com/file/d/1eKb4I6epI_aJ6toCtHnOaL5-8ep_2Olp/view?usp=sharing</t>
  </si>
  <si>
    <t>https://drive.google.com/file/d/1lBwa8H9ap2di-e0TBD7eo8vjN2b9OpDm/view?usp=sharing</t>
  </si>
  <si>
    <t>https://drive.google.com/file/d/1s72DbmqHh-D1OgF5ot13C9jgSAeFEf2j/view?usp=sharing</t>
  </si>
  <si>
    <t>T.Conexión15</t>
  </si>
  <si>
    <t>T.Conexión16</t>
  </si>
  <si>
    <t>JUAN MANUEL GUERRERO GIL</t>
  </si>
  <si>
    <t xml:space="preserve">Semana 15: </t>
  </si>
  <si>
    <t xml:space="preserve">Semana 16: </t>
  </si>
  <si>
    <t>Final</t>
  </si>
  <si>
    <t>https://oicampo-uao.github.io/academics/CABD/stl_final/Femur-1.mix</t>
  </si>
  <si>
    <t>https://oicampo-uao.github.io/academics/CABD/stl_final/Mandibula-1.stl</t>
  </si>
  <si>
    <t>https://oicampo-uao.github.io/academics/CABD/stl_final/Pierna-1.mix</t>
  </si>
  <si>
    <t>https://oicampo-uao.github.io/academics/CABD/stl_final/Torax-1.mix</t>
  </si>
  <si>
    <t>https://oicampo-uao.github.io/academics/CABD/stl_final/Femur-2.mix</t>
  </si>
  <si>
    <t>https://oicampo-uao.github.io/academics/CABD/stl_final/Mandibula-2.stl</t>
  </si>
  <si>
    <t>https://oicampo-uao.github.io/academics/CABD/stl_final/Pierna-2.mix</t>
  </si>
  <si>
    <t>https://oicampo-uao.github.io/academics/CABD/stl_final/Femur-3.mix</t>
  </si>
  <si>
    <t>https://oicampo-uao.github.io/academics/CABD/stl_final/Torax-2.mix</t>
  </si>
  <si>
    <t>Column1</t>
  </si>
  <si>
    <t>nota asistencia</t>
  </si>
  <si>
    <t>Tarea:Impresión 3D (Semana 13) (Real)</t>
  </si>
  <si>
    <t>Tarea:Posicionamiento de Tornillo Para Osteosíntesis (Semana 14) (Real)</t>
  </si>
  <si>
    <t>Tarea:Diseño de Guía Quirúrgica Maxilofacial (Semana 15) (Real)</t>
  </si>
  <si>
    <t>Tarea:Guía para Resección Tumoral (Semana 16) (Real)</t>
  </si>
  <si>
    <t>Tarea:Evaluación Final Sincrónica (Semana 17) (Real)</t>
  </si>
  <si>
    <t>Def</t>
  </si>
  <si>
    <t>Nota 3er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</si>
</sst>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3">
    <xf numFmtId="0" fontId="0" fillId="0" borderId="0" xfId="0"/>
    <xf numFmtId="21" fontId="0" fillId="0" borderId="0" xfId="0" applyNumberFormat="1"/>
    <xf numFmtId="0" fontId="19" fillId="0" borderId="0" xfId="42"/>
    <xf numFmtId="0" fontId="0" fillId="0" borderId="10" xfId="0" applyBorder="1"/>
    <xf numFmtId="0" fontId="0" fillId="33" borderId="10" xfId="0" applyFill="1" applyBorder="1"/>
    <xf numFmtId="0" fontId="14" fillId="0" borderId="10" xfId="0" applyFont="1" applyBorder="1"/>
    <xf numFmtId="0" fontId="14" fillId="33" borderId="10" xfId="0" applyFont="1" applyFill="1" applyBorder="1"/>
    <xf numFmtId="1" fontId="0" fillId="33" borderId="10" xfId="0" applyNumberForma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9" fillId="0" borderId="0" xfId="42" applyBorder="1"/>
    <xf numFmtId="0" fontId="16" fillId="0" borderId="11" xfId="0" applyFont="1" applyBorder="1" applyAlignment="1">
      <alignment horizontal="center"/>
    </xf>
    <xf numFmtId="0" fontId="14" fillId="33" borderId="12" xfId="0" applyFont="1" applyFill="1" applyBorder="1"/>
    <xf numFmtId="0" fontId="19" fillId="0" borderId="13" xfId="42" applyBorder="1"/>
    <xf numFmtId="0" fontId="16" fillId="0" borderId="0" xfId="0" applyFont="1" applyAlignment="1">
      <alignment horizontal="center"/>
    </xf>
    <xf numFmtId="0" fontId="16" fillId="33" borderId="10" xfId="0" applyFont="1" applyFill="1" applyBorder="1"/>
    <xf numFmtId="0" fontId="21" fillId="0" borderId="14" xfId="0" applyFont="1" applyBorder="1"/>
    <xf numFmtId="0" fontId="21" fillId="0" borderId="15" xfId="0" applyFont="1" applyBorder="1"/>
    <xf numFmtId="0" fontId="21" fillId="0" borderId="18" xfId="0" applyFont="1" applyBorder="1"/>
    <xf numFmtId="0" fontId="21" fillId="34" borderId="18" xfId="0" applyFont="1" applyFill="1" applyBorder="1"/>
    <xf numFmtId="0" fontId="21" fillId="35" borderId="18" xfId="0" applyFont="1" applyFill="1" applyBorder="1"/>
    <xf numFmtId="0" fontId="21" fillId="36" borderId="18" xfId="0" applyFont="1" applyFill="1" applyBorder="1"/>
    <xf numFmtId="0" fontId="0" fillId="34" borderId="18" xfId="0" applyFill="1" applyBorder="1"/>
    <xf numFmtId="0" fontId="0" fillId="35" borderId="18" xfId="0" applyFill="1" applyBorder="1"/>
    <xf numFmtId="0" fontId="0" fillId="36" borderId="18" xfId="0" applyFill="1" applyBorder="1"/>
    <xf numFmtId="0" fontId="16" fillId="0" borderId="18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0" fillId="0" borderId="18" xfId="0" applyBorder="1"/>
    <xf numFmtId="0" fontId="14" fillId="33" borderId="0" xfId="0" applyFont="1" applyFill="1"/>
    <xf numFmtId="1" fontId="0" fillId="33" borderId="0" xfId="0" applyNumberFormat="1" applyFill="1" applyAlignment="1">
      <alignment horizontal="center"/>
    </xf>
    <xf numFmtId="0" fontId="0" fillId="33" borderId="0" xfId="0" applyFill="1"/>
    <xf numFmtId="0" fontId="21" fillId="0" borderId="0" xfId="0" applyFont="1"/>
    <xf numFmtId="0" fontId="21" fillId="34" borderId="13" xfId="0" applyFont="1" applyFill="1" applyBorder="1"/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right"/>
    </xf>
    <xf numFmtId="15" fontId="0" fillId="0" borderId="0" xfId="0" applyNumberForma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15" fontId="0" fillId="0" borderId="0" xfId="0" applyNumberFormat="1" applyFill="1" applyAlignment="1">
      <alignment horizontal="center"/>
    </xf>
    <xf numFmtId="15" fontId="0" fillId="0" borderId="0" xfId="0" applyNumberFormat="1" applyFill="1"/>
    <xf numFmtId="15" fontId="0" fillId="0" borderId="0" xfId="0" applyNumberFormat="1" applyFill="1" applyAlignment="1">
      <alignment horizontal="right"/>
    </xf>
    <xf numFmtId="21" fontId="0" fillId="0" borderId="0" xfId="0" applyNumberFormat="1" applyFill="1" applyAlignment="1">
      <alignment horizontal="left"/>
    </xf>
    <xf numFmtId="21" fontId="0" fillId="0" borderId="0" xfId="0" applyNumberFormat="1" applyFill="1"/>
    <xf numFmtId="21" fontId="0" fillId="0" borderId="0" xfId="0" applyNumberFormat="1" applyFill="1" applyAlignment="1">
      <alignment horizont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15" fontId="0" fillId="0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164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14" fillId="0" borderId="0" xfId="0" applyFont="1" applyFill="1"/>
    <xf numFmtId="0" fontId="16" fillId="0" borderId="0" xfId="0" applyFont="1" applyFill="1"/>
    <xf numFmtId="0" fontId="19" fillId="0" borderId="0" xfId="42" applyFill="1"/>
    <xf numFmtId="0" fontId="20" fillId="0" borderId="0" xfId="0" applyFont="1" applyFill="1" applyAlignment="1">
      <alignment horizontal="center" vertical="center"/>
    </xf>
    <xf numFmtId="165" fontId="0" fillId="0" borderId="0" xfId="0" applyNumberFormat="1" applyFill="1"/>
    <xf numFmtId="165" fontId="19" fillId="0" borderId="0" xfId="42" applyNumberFormat="1" applyFill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9"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6" formatCode="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D38B4-65BC-4CC2-BB4F-95F8C3F2B637}" name="Table1" displayName="Table1" ref="A3:BO32" totalsRowShown="0" headerRowDxfId="27" dataDxfId="26">
  <autoFilter ref="A3:BO32" xr:uid="{78DD38B4-65BC-4CC2-BB4F-95F8C3F2B637}"/>
  <sortState xmlns:xlrd2="http://schemas.microsoft.com/office/spreadsheetml/2017/richdata2" ref="A4:BH32">
    <sortCondition ref="B3:B32"/>
  </sortState>
  <tableColumns count="67">
    <tableColumn id="1" xr3:uid="{2951ACD3-7E7C-4B15-8969-BBEC77220F09}" name="Num" dataDxfId="68"/>
    <tableColumn id="2" xr3:uid="{41C291F5-DA77-4B55-A49C-CDE28AB05F1C}" name="Apellidos" dataDxfId="67"/>
    <tableColumn id="3" xr3:uid="{4EF9A0E0-8B64-4D77-BF58-1466EBFC70F8}" name="Nombres" dataDxfId="66"/>
    <tableColumn id="4" xr3:uid="{5086180F-E4FF-44EE-9934-6E185E113D63}" name="id" dataDxfId="65"/>
    <tableColumn id="5" xr3:uid="{E5E637F3-98DE-4C48-8975-E4FF30179C84}" name="email" dataDxfId="64"/>
    <tableColumn id="6" xr3:uid="{CF0D999D-D30E-44A9-8182-47006516BC48}" name="T.Conexión" dataDxfId="63"/>
    <tableColumn id="7" xr3:uid="{E8E1A327-3852-4B72-8C7D-9092BB724734}" name="%Conexión" dataDxfId="62">
      <calculatedColumnFormula>IF(F4/$G$2&lt;=1.001,F4/$G$2,0.6)</calculatedColumnFormula>
    </tableColumn>
    <tableColumn id="8" xr3:uid="{14E35789-86AC-4945-A73E-D99A35E10EB9}" name="T.Conexión2" dataDxfId="61"/>
    <tableColumn id="9" xr3:uid="{6BA91324-9574-4B74-B3ED-388FC74FE8D3}" name="%Conexión2" dataDxfId="60">
      <calculatedColumnFormula>IF(H4/$I$2&lt;=1.001,H4/$I$2,0.6)</calculatedColumnFormula>
    </tableColumn>
    <tableColumn id="10" xr3:uid="{9802FEF2-2187-471C-ACAA-73D940E65473}" name="T.Conexión3" dataDxfId="59"/>
    <tableColumn id="11" xr3:uid="{B8476BAF-0DE0-4C8C-AEEE-2117E3957865}" name="%Conexión3" dataDxfId="58">
      <calculatedColumnFormula>IF(J4/$K$2&lt;=1.001,J4/$K$2,0.6)</calculatedColumnFormula>
    </tableColumn>
    <tableColumn id="12" xr3:uid="{03C4B276-91D7-41F6-911F-0CB84EF47FFD}" name="T.Conexión4" dataDxfId="57"/>
    <tableColumn id="13" xr3:uid="{A51298E4-4EBE-4781-AAF9-34F463969B6B}" name="%Conexión4" dataDxfId="56">
      <calculatedColumnFormula>IF(L4/$M$2&lt;=1.001,L4/$M$2,0.6)</calculatedColumnFormula>
    </tableColumn>
    <tableColumn id="14" xr3:uid="{2F7283ED-1E7B-4330-A5CE-F92DE2091445}" name="T.Conexión5" dataDxfId="55"/>
    <tableColumn id="15" xr3:uid="{ABDEB556-A3C7-496C-BEE2-2B0A3386DBE3}" name="%Conexión5" dataDxfId="54">
      <calculatedColumnFormula>IF(N4/$O$2&lt;=1.001,N4/$O$2,0.6)</calculatedColumnFormula>
    </tableColumn>
    <tableColumn id="16" xr3:uid="{5A12C48D-EFA1-49AF-BB79-7F5EEBD636A1}" name="T.Conexión6" dataDxfId="53"/>
    <tableColumn id="17" xr3:uid="{C4B07EEB-4CD0-4E3B-A360-8C4335B132B2}" name="%Conexión6" dataDxfId="52">
      <calculatedColumnFormula>IF(P4/$Q$2&lt;=1.001,P4/$Q$2,0.6)</calculatedColumnFormula>
    </tableColumn>
    <tableColumn id="21" xr3:uid="{5430F0E6-F861-44B2-B1CA-6E2A24842801}" name="Asistencia" dataDxfId="51">
      <calculatedColumnFormula>AVERAGE(G4,I4,K4,M4,Table1[[#This Row],[%Conexión5]],Table1[[#This Row],[%Conexión6]])*5</calculatedColumnFormula>
    </tableColumn>
    <tableColumn id="22" xr3:uid="{5E18873E-0421-4811-A7ED-EFE7A5B09CB1}" name="Grupo" dataDxfId="50"/>
    <tableColumn id="18" xr3:uid="{01BD22FA-FAB3-4A7D-BEA4-C6E859E91567}" name="Gesto Asignado" dataDxfId="49">
      <calculatedColumnFormula array="1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calculatedColumnFormula>
    </tableColumn>
    <tableColumn id="30" xr3:uid="{9680D2F4-FF61-42C8-B8B8-A6D565F1061F}" name="Conceptos fundamentales (Semana 1) " dataDxfId="48"/>
    <tableColumn id="29" xr3:uid="{2C8549F9-6C7C-4C18-8BD8-913F1238E3A1}" name="Operaciones sobre piezas (Semana 2) " dataDxfId="47"/>
    <tableColumn id="28" xr3:uid="{01B7F4FF-718E-4142-B28F-3C5C6E213A9D}" name="Operaciones básicas para Modelado de Superficies _x000a_(Semana 3) " dataDxfId="46"/>
    <tableColumn id="27" xr3:uid="{FB3D7617-43A2-4406-8A1B-342CC431D360}" name="Modelado avanzado y reparación de Superficies _x000a_(Semana 4) " dataDxfId="45"/>
    <tableColumn id="26" xr3:uid="{15CC947B-1D11-40C4-BDF3-E97BFC12F776}" name="Modelado a partir de datos de scanner _x000a_(Semana 5) " dataDxfId="44"/>
    <tableColumn id="25" xr3:uid="{7ECFE038-AA59-4517-90E9-2B3566EA5DBF}" name="Escaneo de partes anatómicas (Semana 6) " dataDxfId="43"/>
    <tableColumn id="24" xr3:uid="{D2AC9EBA-9E21-4D91-B98D-BEC9F52C6380}" name="Nota 1er Corte" dataDxfId="42">
      <calculatedColumnFormula>AVERAGE(Table1[[#This Row],[Operaciones sobre piezas (Semana 2) ]:[Escaneo de partes anatómicas (Semana 6) ]])*0.7+Table1[[#This Row],[Asistencia]]*0.3</calculatedColumnFormula>
    </tableColumn>
    <tableColumn id="23" xr3:uid="{85803527-97A7-4D57-A5D2-AF49B49DFBB6}" name="T.Conexión7" dataDxfId="41"/>
    <tableColumn id="20" xr3:uid="{3C385566-1188-4AA7-B618-44B1F28F2C3E}" name="%Conexión7" dataDxfId="40">
      <calculatedColumnFormula>IF(AB4/$AC$2&lt;=1.01,AB4/$AC$2,0.6)</calculatedColumnFormula>
    </tableColumn>
    <tableColumn id="32" xr3:uid="{DA39C125-36F8-4764-B8CE-ED2AA2E45580}" name="T.Conexión8" dataDxfId="39"/>
    <tableColumn id="31" xr3:uid="{16616376-8A06-4C29-A128-6431F97D4DD9}" name="%Conexión8" dataDxfId="38">
      <calculatedColumnFormula>IF(AD4/$AE$2&lt;=1.01,AD4/$AE$2,0.6)</calculatedColumnFormula>
    </tableColumn>
    <tableColumn id="34" xr3:uid="{C72915B1-C70C-4096-837F-1AC0F6176851}" name="T.Conexión9" dataDxfId="37"/>
    <tableColumn id="33" xr3:uid="{64BD73A0-6AB2-41EA-80B2-E94CA28F1896}" name="%Conexión9" dataDxfId="36">
      <calculatedColumnFormula>IF(AF4/$AG$2&lt;=1.01,AF4/$AG$2,0.6)</calculatedColumnFormula>
    </tableColumn>
    <tableColumn id="36" xr3:uid="{F0830AFA-8C17-4DB9-A373-A75CC7DF2F83}" name="T.Conexión10" dataDxfId="35"/>
    <tableColumn id="35" xr3:uid="{4D72883D-7062-4769-91FF-E8347DDDF8EA}" name="%Conexión10" dataDxfId="34">
      <calculatedColumnFormula>IF(AH4/$AI$2&lt;=1.01,AH4/$AI$2,0.6)</calculatedColumnFormula>
    </tableColumn>
    <tableColumn id="38" xr3:uid="{07C7A6E1-EADF-417F-BBB9-696A87EE03ED}" name="T.Conexión11" dataDxfId="33"/>
    <tableColumn id="39" xr3:uid="{B3C76DB4-CD2E-4D13-BBC5-38A53EAA07D7}" name="%Conexión11" dataDxfId="32">
      <calculatedColumnFormula>IF(AJ4/$AK$2&lt;=1.01,AJ4/$AK$2,0.6)</calculatedColumnFormula>
    </tableColumn>
    <tableColumn id="41" xr3:uid="{EA9FFCEC-467B-44E9-B6D0-A8F104B88700}" name="T.Conexión12" dataDxfId="31"/>
    <tableColumn id="40" xr3:uid="{D29AB314-EA83-4BF8-8607-9801EE1862CF}" name="%Conexión12" dataDxfId="30">
      <calculatedColumnFormula>IF(AL4/$AM$2&lt;=1.01,AL4/$AM$2,0.6)</calculatedColumnFormula>
    </tableColumn>
    <tableColumn id="42" xr3:uid="{A3F65FD2-B327-41F5-8A75-BC235081CEEE}" name="Asistencia 2o Corte" dataDxfId="29">
      <calculatedColumnFormula>AVERAGE(AC4,AE4,AG4,AI4,AK4,AM4)*5</calculatedColumnFormula>
    </tableColumn>
    <tableColumn id="46" xr3:uid="{ACDC36A9-52A2-4418-9C8E-F3286FF92DE3}" name="Tarea:Introducción a 3DSlicer (Semana 8) (Real)" dataDxfId="28"/>
    <tableColumn id="45" xr3:uid="{C9EF27E2-2E77-43CE-9A3F-6B275AE0FBD8}" name="Tarea:Segmentación Manual y Semi-Automática (Semana 10) (Real)" dataDxfId="25"/>
    <tableColumn id="44" xr3:uid="{D630EB03-BDD1-4D1C-B5FE-BBD59ADA0808}" name="Nota 2o Corte" dataDxfId="24">
      <calculatedColumnFormula>Table1[[#This Row],[Asistencia 2o Corte]]*0.3+AVERAGE(Table1[[#This Row],[Tarea:Introducción a 3DSlicer (Semana 8) (Real)]:[Tarea:Segmentación Manual y Semi-Automática (Semana 10) (Real)]])*0.7</calculatedColumnFormula>
    </tableColumn>
    <tableColumn id="37" xr3:uid="{2A0CC0F0-1011-46C8-A0F9-65A542FE9188}" name="DICOM craneal" dataDxfId="23"/>
    <tableColumn id="43" xr3:uid="{2CD41825-C71B-4541-AF9A-6A25DF6A88A9}" name="Uso de métricas" dataDxfId="22"/>
    <tableColumn id="19" xr3:uid="{A45FF6DC-328F-4C5F-A205-1FEF9642344D}" name="Uso de scripts" dataDxfId="21"/>
    <tableColumn id="47" xr3:uid="{F821B773-6301-45E5-9793-2DE32511B433}" name="T.Conexión13" dataDxfId="20"/>
    <tableColumn id="48" xr3:uid="{5A4ED4DA-DF2D-4463-90F6-A942923EFBF9}" name="%Conexión13" dataDxfId="19">
      <calculatedColumnFormula>IF(AU4/$AV$2&lt;=1.01,AU4/$AV$2,0.6)</calculatedColumnFormula>
    </tableColumn>
    <tableColumn id="50" xr3:uid="{D75D1F12-AEC5-4990-86B9-37D066CCF5D5}" name="T.Conexión14" dataDxfId="18"/>
    <tableColumn id="49" xr3:uid="{947D07DB-2CDE-4522-B614-94FD281BC36A}" name="%Conexión14" dataDxfId="17">
      <calculatedColumnFormula>IF(AW4/$AX$2&lt;=1.01,AW4/$AX$2,0.6)</calculatedColumnFormula>
    </tableColumn>
    <tableColumn id="51" xr3:uid="{13A89A5F-615E-4EA2-A11B-DF8E393D169E}" name="T.Conexión15" dataDxfId="16"/>
    <tableColumn id="53" xr3:uid="{1D6C09E8-E26E-4890-962A-25FE368050F4}" name="%Conexión15" dataDxfId="15">
      <calculatedColumnFormula>IF(AY4/$AZ$2&lt;=1.01,AY4/$AZ$2,0.6)</calculatedColumnFormula>
    </tableColumn>
    <tableColumn id="58" xr3:uid="{00FD9036-C73D-4D89-A3C4-E3BBD396394D}" name="T.Conexión16" dataDxfId="14"/>
    <tableColumn id="57" xr3:uid="{8431FADB-E116-46CE-B9E2-538265BEB783}" name="%Conexión16" dataDxfId="13">
      <calculatedColumnFormula>IF(BA4/$BB$2&lt;=1.01,BA4/$BB$2,0.6)</calculatedColumnFormula>
    </tableColumn>
    <tableColumn id="52" xr3:uid="{6317A5ED-108F-4A63-B8A2-28F1893F0199}" name="Guía 1" dataDxfId="12"/>
    <tableColumn id="54" xr3:uid="{8BBD2754-7C3F-4A9C-B7B2-91118E28A3A6}" name="Guía 2" dataDxfId="11"/>
    <tableColumn id="55" xr3:uid="{FE5AEE6C-ECBF-428C-9E4A-7DFF3E0B54A4}" name="Guía 3" dataDxfId="10"/>
    <tableColumn id="56" xr3:uid="{96A9F9E3-A7F4-4542-B11E-DD6793619F23}" name="Final" dataDxfId="9"/>
    <tableColumn id="59" xr3:uid="{C5B21736-F4A3-4C62-A185-55D88E7416D1}" name="Column1" dataDxfId="8"/>
    <tableColumn id="62" xr3:uid="{BCA9E0A4-DFB2-4923-8B43-C6157175398A}" name="nota asistencia" dataDxfId="7">
      <calculatedColumnFormula>AVERAGE(AV4,AX4,AZ4,BB4)*5</calculatedColumnFormula>
    </tableColumn>
    <tableColumn id="63" xr3:uid="{F24976A0-EA1A-49C3-BEBA-EFFB58C01A9D}" name="Tarea:Impresión 3D (Semana 13) (Real)" dataDxfId="6"/>
    <tableColumn id="64" xr3:uid="{8D0C9170-14A3-45D4-AE12-C704A0609EAF}" name="Tarea:Posicionamiento de Tornillo Para Osteosíntesis (Semana 14) (Real)" dataDxfId="5"/>
    <tableColumn id="65" xr3:uid="{CF9CC2D9-C440-4FD9-8E05-55D64F567E4C}" name="Tarea:Diseño de Guía Quirúrgica Maxilofacial (Semana 15) (Real)" dataDxfId="4"/>
    <tableColumn id="66" xr3:uid="{FDA3439F-3BCF-44AA-AE6A-53302C93D9FC}" name="Tarea:Guía para Resección Tumoral (Semana 16) (Real)" dataDxfId="3"/>
    <tableColumn id="67" xr3:uid="{E5B20F2D-F8AE-469A-8000-B4FA8FD6EA26}" name="Tarea:Evaluación Final Sincrónica (Semana 17) (Real)" dataDxfId="2"/>
    <tableColumn id="69" xr3:uid="{7DB8E20D-20EE-4844-B6F0-B81E3C81E733}" name="Nota 3er corte" dataDxfId="1">
      <calculatedColumnFormula>AVERAGE(Table1[[#This Row],[Tarea:Impresión 3D (Semana 13) (Real)]:[Tarea:Evaluación Final Sincrónica (Semana 17) (Real)]])*0.7+Table1[[#This Row],[nota asistencia]]*0.3</calculatedColumnFormula>
    </tableColumn>
    <tableColumn id="68" xr3:uid="{9162C8BD-9701-46C1-9857-7D1B6D2F69E6}" name="Def" dataDxfId="0">
      <calculatedColumnFormula>AVERAGE(AA4,AQ4,BN4)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8ghynVtHtatpDEnWiEQ90VkaQFdPaFA/view?usp=sharing" TargetMode="External"/><Relationship Id="rId13" Type="http://schemas.openxmlformats.org/officeDocument/2006/relationships/hyperlink" Target="https://oicampo-uao.github.io/academics/CABD/stl_final/Mandibula-1.stl" TargetMode="External"/><Relationship Id="rId3" Type="http://schemas.openxmlformats.org/officeDocument/2006/relationships/hyperlink" Target="https://www.kaggle.com/datasets/adarshsng/heart-mri-image-dataset-left-atrial-segmentation/data" TargetMode="External"/><Relationship Id="rId7" Type="http://schemas.openxmlformats.org/officeDocument/2006/relationships/hyperlink" Target="https://drive.google.com/file/d/1PPehENxnv1mJwFY7OLhcEx8tc1k1CoNw/view?usp=sharing" TargetMode="External"/><Relationship Id="rId12" Type="http://schemas.openxmlformats.org/officeDocument/2006/relationships/hyperlink" Target="https://oicampo-uao.github.io/academics/CABD/stl_final/Pierna-2.mix" TargetMode="External"/><Relationship Id="rId2" Type="http://schemas.openxmlformats.org/officeDocument/2006/relationships/hyperlink" Target="https://www.kaggle.com/datasets/kmader/finding-lungs-in-ct-data/data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rosa_gis.swayne@uao.edu.co" TargetMode="External"/><Relationship Id="rId6" Type="http://schemas.openxmlformats.org/officeDocument/2006/relationships/hyperlink" Target="https://drive.google.com/file/d/1D5vRi6mOSqsDbb885Oqgb8bB75Q5HPRr/view?usp=sharing" TargetMode="External"/><Relationship Id="rId11" Type="http://schemas.openxmlformats.org/officeDocument/2006/relationships/hyperlink" Target="https://oicampo-uao.github.io/academics/CABD/stl_final/Mandibula-1.stl" TargetMode="External"/><Relationship Id="rId5" Type="http://schemas.openxmlformats.org/officeDocument/2006/relationships/hyperlink" Target="https://drive.google.com/file/d/1UKYI8aEgFPXYCVomvusbK0FEXj_C21qt/view?usp=sharin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file/d/1s72DbmqHh-D1OgF5ot13C9jgSAeFEf2j/view?usp=sharing" TargetMode="External"/><Relationship Id="rId4" Type="http://schemas.openxmlformats.org/officeDocument/2006/relationships/hyperlink" Target="https://drive.google.com/file/d/1UKYI8aEgFPXYCVomvusbK0FEXj_C21qt/view?usp=sharing" TargetMode="External"/><Relationship Id="rId9" Type="http://schemas.openxmlformats.org/officeDocument/2006/relationships/hyperlink" Target="https://drive.google.com/file/d/1eKb4I6epI_aJ6toCtHnOaL5-8ep_2Olp/view?usp=sharing" TargetMode="External"/><Relationship Id="rId14" Type="http://schemas.openxmlformats.org/officeDocument/2006/relationships/hyperlink" Target="https://oicampo-uao.github.io/academics/CABD/stl_final/Femur-3.mi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ao-my.sharepoint.com/:u:/g/personal/oicampo_uao_edu_co/EaIWo7YFVYlAuN93clEL44gBAXKbjKXNfPryYCfZL6L4MQ?e=7ImTKy" TargetMode="External"/><Relationship Id="rId13" Type="http://schemas.openxmlformats.org/officeDocument/2006/relationships/hyperlink" Target="https://uao-my.sharepoint.com/:u:/g/personal/oicampo_uao_edu_co/Ef39u63j2jNNlr41x60ySkMBgKTOE726blos_Q8zT6HnYg?e=w7b0aC" TargetMode="External"/><Relationship Id="rId18" Type="http://schemas.openxmlformats.org/officeDocument/2006/relationships/hyperlink" Target="https://uao-my.sharepoint.com/:u:/g/personal/oicampo_uao_edu_co/EYnFW6Vai6VFvpeEtI7cf6IBl-Xd3lhGCeVy-7E65bPiAg?e=gZymTU" TargetMode="External"/><Relationship Id="rId26" Type="http://schemas.openxmlformats.org/officeDocument/2006/relationships/hyperlink" Target="https://uao-my.sharepoint.com/:u:/g/personal/oicampo_uao_edu_co/EaIWo7YFVYlAuN93clEL44gBAXKbjKXNfPryYCfZL6L4MQ?e=7ImTKy" TargetMode="External"/><Relationship Id="rId3" Type="http://schemas.openxmlformats.org/officeDocument/2006/relationships/hyperlink" Target="https://uao-my.sharepoint.com/:u:/g/personal/oicampo_uao_edu_co/EUuR8OS5_ypLv55gMNbs_VEB0YK9DTeBAKx0lpeZmGIeJw?e=8HgIh5" TargetMode="External"/><Relationship Id="rId21" Type="http://schemas.openxmlformats.org/officeDocument/2006/relationships/hyperlink" Target="https://uao-my.sharepoint.com/:u:/g/personal/oicampo_uao_edu_co/EUuR8OS5_ypLv55gMNbs_VEB0YK9DTeBAKx0lpeZmGIeJw?e=8HgIh5" TargetMode="External"/><Relationship Id="rId7" Type="http://schemas.openxmlformats.org/officeDocument/2006/relationships/hyperlink" Target="https://uao-my.sharepoint.com/:u:/g/personal/oicampo_uao_edu_co/Ef39u63j2jNNlr41x60ySkMBgKTOE726blos_Q8zT6HnYg?e=w7b0aC" TargetMode="External"/><Relationship Id="rId12" Type="http://schemas.openxmlformats.org/officeDocument/2006/relationships/hyperlink" Target="https://uao-my.sharepoint.com/:u:/g/personal/oicampo_uao_edu_co/EYnFW6Vai6VFvpeEtI7cf6IBl-Xd3lhGCeVy-7E65bPiAg?e=gZymTU" TargetMode="External"/><Relationship Id="rId17" Type="http://schemas.openxmlformats.org/officeDocument/2006/relationships/hyperlink" Target="https://uao-my.sharepoint.com/:u:/g/personal/oicampo_uao_edu_co/EYN7zW8Sc7ZMg-EpBYNO4asBxd6gaN2WatTXVv4JJLUmMg?e=ntlGW3" TargetMode="External"/><Relationship Id="rId25" Type="http://schemas.openxmlformats.org/officeDocument/2006/relationships/hyperlink" Target="https://uao-my.sharepoint.com/:u:/g/personal/oicampo_uao_edu_co/Ef39u63j2jNNlr41x60ySkMBgKTOE726blos_Q8zT6HnYg?e=w7b0aC" TargetMode="External"/><Relationship Id="rId2" Type="http://schemas.openxmlformats.org/officeDocument/2006/relationships/hyperlink" Target="https://uao-my.sharepoint.com/:u:/g/personal/oicampo_uao_edu_co/EaIWo7YFVYlAuN93clEL44gBAXKbjKXNfPryYCfZL6L4MQ?e=7ImTKy" TargetMode="External"/><Relationship Id="rId16" Type="http://schemas.openxmlformats.org/officeDocument/2006/relationships/hyperlink" Target="https://uao-my.sharepoint.com/:u:/g/personal/oicampo_uao_edu_co/EcZ8r75bpS5MpBJfTFFEy-gBVhWrdbBe601C0Z8Go9e_KQ?e=ms2D9T" TargetMode="External"/><Relationship Id="rId20" Type="http://schemas.openxmlformats.org/officeDocument/2006/relationships/hyperlink" Target="https://uao-my.sharepoint.com/:u:/g/personal/oicampo_uao_edu_co/EaIWo7YFVYlAuN93clEL44gBAXKbjKXNfPryYCfZL6L4MQ?e=7ImTKy" TargetMode="External"/><Relationship Id="rId1" Type="http://schemas.openxmlformats.org/officeDocument/2006/relationships/hyperlink" Target="https://uao-my.sharepoint.com/:u:/g/personal/oicampo_uao_edu_co/Ef39u63j2jNNlr41x60ySkMBgKTOE726blos_Q8zT6HnYg?e=w7b0aC" TargetMode="External"/><Relationship Id="rId6" Type="http://schemas.openxmlformats.org/officeDocument/2006/relationships/hyperlink" Target="https://uao-my.sharepoint.com/:u:/g/personal/oicampo_uao_edu_co/EYnFW6Vai6VFvpeEtI7cf6IBl-Xd3lhGCeVy-7E65bPiAg?e=gZymTU" TargetMode="External"/><Relationship Id="rId11" Type="http://schemas.openxmlformats.org/officeDocument/2006/relationships/hyperlink" Target="https://uao-my.sharepoint.com/:u:/g/personal/oicampo_uao_edu_co/EYN7zW8Sc7ZMg-EpBYNO4asBxd6gaN2WatTXVv4JJLUmMg?e=ntlGW3" TargetMode="External"/><Relationship Id="rId24" Type="http://schemas.openxmlformats.org/officeDocument/2006/relationships/hyperlink" Target="https://uao-my.sharepoint.com/:u:/g/personal/oicampo_uao_edu_co/EYnFW6Vai6VFvpeEtI7cf6IBl-Xd3lhGCeVy-7E65bPiAg?e=gZymTU" TargetMode="External"/><Relationship Id="rId5" Type="http://schemas.openxmlformats.org/officeDocument/2006/relationships/hyperlink" Target="https://uao-my.sharepoint.com/:u:/g/personal/oicampo_uao_edu_co/EYN7zW8Sc7ZMg-EpBYNO4asBxd6gaN2WatTXVv4JJLUmMg?e=ntlGW3" TargetMode="External"/><Relationship Id="rId15" Type="http://schemas.openxmlformats.org/officeDocument/2006/relationships/hyperlink" Target="https://uao-my.sharepoint.com/:u:/g/personal/oicampo_uao_edu_co/EUuR8OS5_ypLv55gMNbs_VEB0YK9DTeBAKx0lpeZmGIeJw?e=8HgIh5" TargetMode="External"/><Relationship Id="rId23" Type="http://schemas.openxmlformats.org/officeDocument/2006/relationships/hyperlink" Target="https://uao-my.sharepoint.com/:u:/g/personal/oicampo_uao_edu_co/EYN7zW8Sc7ZMg-EpBYNO4asBxd6gaN2WatTXVv4JJLUmMg?e=ntlGW3" TargetMode="External"/><Relationship Id="rId28" Type="http://schemas.openxmlformats.org/officeDocument/2006/relationships/hyperlink" Target="https://uao-my.sharepoint.com/:u:/g/personal/oicampo_uao_edu_co/EcZ8r75bpS5MpBJfTFFEy-gBVhWrdbBe601C0Z8Go9e_KQ?e=ms2D9T" TargetMode="External"/><Relationship Id="rId10" Type="http://schemas.openxmlformats.org/officeDocument/2006/relationships/hyperlink" Target="https://uao-my.sharepoint.com/:u:/g/personal/oicampo_uao_edu_co/EcZ8r75bpS5MpBJfTFFEy-gBVhWrdbBe601C0Z8Go9e_KQ?e=ms2D9T" TargetMode="External"/><Relationship Id="rId19" Type="http://schemas.openxmlformats.org/officeDocument/2006/relationships/hyperlink" Target="https://uao-my.sharepoint.com/:u:/g/personal/oicampo_uao_edu_co/Ef39u63j2jNNlr41x60ySkMBgKTOE726blos_Q8zT6HnYg?e=w7b0aC" TargetMode="External"/><Relationship Id="rId4" Type="http://schemas.openxmlformats.org/officeDocument/2006/relationships/hyperlink" Target="https://uao-my.sharepoint.com/:u:/g/personal/oicampo_uao_edu_co/EcZ8r75bpS5MpBJfTFFEy-gBVhWrdbBe601C0Z8Go9e_KQ?e=ms2D9T" TargetMode="External"/><Relationship Id="rId9" Type="http://schemas.openxmlformats.org/officeDocument/2006/relationships/hyperlink" Target="https://uao-my.sharepoint.com/:u:/g/personal/oicampo_uao_edu_co/EUuR8OS5_ypLv55gMNbs_VEB0YK9DTeBAKx0lpeZmGIeJw?e=8HgIh5" TargetMode="External"/><Relationship Id="rId14" Type="http://schemas.openxmlformats.org/officeDocument/2006/relationships/hyperlink" Target="https://uao-my.sharepoint.com/:u:/g/personal/oicampo_uao_edu_co/EaIWo7YFVYlAuN93clEL44gBAXKbjKXNfPryYCfZL6L4MQ?e=7ImTKy" TargetMode="External"/><Relationship Id="rId22" Type="http://schemas.openxmlformats.org/officeDocument/2006/relationships/hyperlink" Target="https://uao-my.sharepoint.com/:u:/g/personal/oicampo_uao_edu_co/EcZ8r75bpS5MpBJfTFFEy-gBVhWrdbBe601C0Z8Go9e_KQ?e=ms2D9T" TargetMode="External"/><Relationship Id="rId27" Type="http://schemas.openxmlformats.org/officeDocument/2006/relationships/hyperlink" Target="https://uao-my.sharepoint.com/:u:/g/personal/oicampo_uao_edu_co/EUuR8OS5_ypLv55gMNbs_VEB0YK9DTeBAKx0lpeZmGIeJw?e=8HgIh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2CE0-6169-477F-B8E1-2987D9E7C726}">
  <dimension ref="A1:BO35"/>
  <sheetViews>
    <sheetView tabSelected="1" topLeftCell="A12" zoomScale="130" zoomScaleNormal="130" workbookViewId="0">
      <selection activeCell="BN32" sqref="BN32"/>
    </sheetView>
  </sheetViews>
  <sheetFormatPr baseColWidth="10" defaultColWidth="11.42578125" defaultRowHeight="15" x14ac:dyDescent="0.25"/>
  <cols>
    <col min="1" max="1" width="7.42578125" style="37" customWidth="1"/>
    <col min="2" max="2" width="23.5703125" style="37" customWidth="1"/>
    <col min="3" max="3" width="19.85546875" style="37" customWidth="1"/>
    <col min="4" max="4" width="12" style="37" customWidth="1"/>
    <col min="5" max="5" width="32.7109375" style="37" hidden="1" customWidth="1"/>
    <col min="6" max="7" width="15.85546875" style="37" hidden="1" customWidth="1"/>
    <col min="8" max="17" width="16.85546875" style="37" hidden="1" customWidth="1"/>
    <col min="18" max="18" width="14.85546875" style="37" hidden="1" customWidth="1"/>
    <col min="19" max="19" width="11.140625" style="37" hidden="1" customWidth="1"/>
    <col min="20" max="20" width="75.5703125" style="40" hidden="1" customWidth="1"/>
    <col min="21" max="21" width="19.28515625" style="41" hidden="1" customWidth="1"/>
    <col min="22" max="22" width="17" style="41" hidden="1" customWidth="1"/>
    <col min="23" max="23" width="28.85546875" style="41" hidden="1" customWidth="1"/>
    <col min="24" max="24" width="29" style="41" hidden="1" customWidth="1"/>
    <col min="25" max="25" width="21.28515625" style="41" hidden="1" customWidth="1"/>
    <col min="26" max="26" width="15.85546875" style="41" hidden="1" customWidth="1"/>
    <col min="27" max="27" width="11.5703125" style="40" customWidth="1"/>
    <col min="28" max="42" width="16.85546875" style="40" hidden="1" customWidth="1"/>
    <col min="43" max="43" width="11.5703125" style="40" customWidth="1"/>
    <col min="44" max="44" width="11.42578125" style="37" hidden="1" customWidth="1"/>
    <col min="45" max="45" width="95.7109375" style="37" hidden="1" customWidth="1"/>
    <col min="46" max="46" width="95.140625" style="37" hidden="1" customWidth="1"/>
    <col min="47" max="54" width="15.85546875" style="37" hidden="1" customWidth="1"/>
    <col min="55" max="55" width="18" style="37" hidden="1" customWidth="1"/>
    <col min="56" max="56" width="81.85546875" style="37" hidden="1" customWidth="1"/>
    <col min="57" max="57" width="83.5703125" style="37" hidden="1" customWidth="1"/>
    <col min="58" max="58" width="68.140625" style="37" hidden="1" customWidth="1"/>
    <col min="59" max="59" width="65" style="37" hidden="1" customWidth="1"/>
    <col min="60" max="60" width="19.140625" style="37" hidden="1" customWidth="1"/>
    <col min="61" max="65" width="0" style="37" hidden="1" customWidth="1"/>
    <col min="66" max="66" width="10.85546875" style="37" customWidth="1"/>
    <col min="67" max="16384" width="11.42578125" style="37"/>
  </cols>
  <sheetData>
    <row r="1" spans="1:67" x14ac:dyDescent="0.25">
      <c r="F1" s="38" t="s">
        <v>123</v>
      </c>
      <c r="G1" s="39">
        <v>45867</v>
      </c>
      <c r="H1" s="38" t="s">
        <v>124</v>
      </c>
      <c r="I1" s="39">
        <v>45874</v>
      </c>
      <c r="J1" s="38" t="s">
        <v>125</v>
      </c>
      <c r="K1" s="39">
        <v>45881</v>
      </c>
      <c r="L1" s="38" t="s">
        <v>126</v>
      </c>
      <c r="M1" s="39">
        <v>45888</v>
      </c>
      <c r="N1" s="38" t="s">
        <v>127</v>
      </c>
      <c r="O1" s="39">
        <v>45895</v>
      </c>
      <c r="P1" s="38" t="s">
        <v>128</v>
      </c>
      <c r="Q1" s="39">
        <v>45902</v>
      </c>
      <c r="R1" s="39"/>
      <c r="S1" s="39"/>
      <c r="AA1" s="40" t="s">
        <v>184</v>
      </c>
      <c r="AB1" s="38" t="s">
        <v>186</v>
      </c>
      <c r="AC1" s="39">
        <v>45909</v>
      </c>
      <c r="AD1" s="38" t="s">
        <v>189</v>
      </c>
      <c r="AE1" s="39">
        <v>45916</v>
      </c>
      <c r="AF1" s="38" t="s">
        <v>194</v>
      </c>
      <c r="AG1" s="39">
        <v>45923</v>
      </c>
      <c r="AH1" s="38" t="s">
        <v>280</v>
      </c>
      <c r="AI1" s="39">
        <v>45930</v>
      </c>
      <c r="AJ1" s="38" t="s">
        <v>281</v>
      </c>
      <c r="AK1" s="39">
        <v>45930</v>
      </c>
      <c r="AL1" s="38" t="s">
        <v>284</v>
      </c>
      <c r="AM1" s="39">
        <v>45944</v>
      </c>
      <c r="AN1" s="39"/>
      <c r="AO1" s="42"/>
      <c r="AP1" s="42"/>
      <c r="AQ1" s="39"/>
      <c r="AU1" s="38" t="s">
        <v>305</v>
      </c>
      <c r="AV1" s="43">
        <v>45951</v>
      </c>
      <c r="AW1" s="38" t="s">
        <v>308</v>
      </c>
      <c r="AX1" s="44">
        <v>45958</v>
      </c>
      <c r="AY1" s="38" t="s">
        <v>334</v>
      </c>
      <c r="AZ1" s="44">
        <v>45965</v>
      </c>
      <c r="BA1" s="38" t="s">
        <v>335</v>
      </c>
      <c r="BB1" s="44">
        <v>45972</v>
      </c>
      <c r="BC1" s="43"/>
    </row>
    <row r="2" spans="1:67" x14ac:dyDescent="0.25">
      <c r="F2" s="38" t="s">
        <v>122</v>
      </c>
      <c r="G2" s="45">
        <v>1.744212962962963E-2</v>
      </c>
      <c r="H2" s="38" t="s">
        <v>121</v>
      </c>
      <c r="I2" s="45">
        <v>3.9780092592592596E-2</v>
      </c>
      <c r="J2" s="38" t="s">
        <v>121</v>
      </c>
      <c r="K2" s="45">
        <v>3.5949074074074071E-2</v>
      </c>
      <c r="L2" s="38" t="s">
        <v>121</v>
      </c>
      <c r="M2" s="45">
        <v>2.2731481481481481E-2</v>
      </c>
      <c r="N2" s="38" t="s">
        <v>121</v>
      </c>
      <c r="O2" s="46">
        <v>4.6655092592592595E-2</v>
      </c>
      <c r="P2" s="38" t="s">
        <v>121</v>
      </c>
      <c r="Q2" s="46">
        <v>4.3206018518518519E-2</v>
      </c>
      <c r="R2" s="45"/>
      <c r="S2" s="45"/>
      <c r="AA2" s="40" t="s">
        <v>185</v>
      </c>
      <c r="AB2" s="38" t="s">
        <v>121</v>
      </c>
      <c r="AC2" s="46">
        <v>4.1157407407407406E-2</v>
      </c>
      <c r="AD2" s="38" t="s">
        <v>121</v>
      </c>
      <c r="AE2" s="46">
        <v>3.7534722222222219E-2</v>
      </c>
      <c r="AF2" s="38" t="s">
        <v>121</v>
      </c>
      <c r="AG2" s="46">
        <v>3.7534722222222219E-2</v>
      </c>
      <c r="AH2" s="38" t="s">
        <v>121</v>
      </c>
      <c r="AI2" s="46">
        <v>1.4722222222222222E-2</v>
      </c>
      <c r="AJ2" s="38" t="s">
        <v>121</v>
      </c>
      <c r="AK2" s="46">
        <v>3.5925925925925924E-2</v>
      </c>
      <c r="AL2" s="38" t="s">
        <v>121</v>
      </c>
      <c r="AM2" s="46">
        <v>2.9988425925925925E-2</v>
      </c>
      <c r="AN2" s="46"/>
      <c r="AO2" s="47"/>
      <c r="AP2" s="47"/>
      <c r="AQ2" s="46"/>
      <c r="AU2" s="38" t="s">
        <v>121</v>
      </c>
      <c r="AV2" s="46">
        <v>3.712962962962963E-2</v>
      </c>
      <c r="AW2" s="38" t="s">
        <v>121</v>
      </c>
      <c r="AX2" s="46">
        <v>3.2650462962962964E-2</v>
      </c>
      <c r="AY2" s="38" t="s">
        <v>121</v>
      </c>
      <c r="AZ2" s="46">
        <v>3.6354166666666667E-2</v>
      </c>
      <c r="BA2" s="38" t="s">
        <v>121</v>
      </c>
      <c r="BB2" s="46">
        <v>3.4062500000000002E-2</v>
      </c>
      <c r="BC2" s="46"/>
    </row>
    <row r="3" spans="1:67" s="48" customFormat="1" ht="120" x14ac:dyDescent="0.25">
      <c r="A3" s="48" t="s">
        <v>0</v>
      </c>
      <c r="B3" s="48" t="s">
        <v>1</v>
      </c>
      <c r="C3" s="48" t="s">
        <v>2</v>
      </c>
      <c r="D3" s="49" t="s">
        <v>60</v>
      </c>
      <c r="E3" s="48" t="s">
        <v>61</v>
      </c>
      <c r="F3" s="50" t="s">
        <v>113</v>
      </c>
      <c r="G3" s="49" t="s">
        <v>114</v>
      </c>
      <c r="H3" s="50" t="s">
        <v>115</v>
      </c>
      <c r="I3" s="49" t="s">
        <v>171</v>
      </c>
      <c r="J3" s="50" t="s">
        <v>172</v>
      </c>
      <c r="K3" s="49" t="s">
        <v>116</v>
      </c>
      <c r="L3" s="50" t="s">
        <v>117</v>
      </c>
      <c r="M3" s="49" t="s">
        <v>173</v>
      </c>
      <c r="N3" s="50" t="s">
        <v>174</v>
      </c>
      <c r="O3" s="49" t="s">
        <v>118</v>
      </c>
      <c r="P3" s="50" t="s">
        <v>119</v>
      </c>
      <c r="Q3" s="49" t="s">
        <v>175</v>
      </c>
      <c r="R3" s="49" t="s">
        <v>112</v>
      </c>
      <c r="S3" s="49" t="s">
        <v>129</v>
      </c>
      <c r="T3" s="49" t="s">
        <v>130</v>
      </c>
      <c r="U3" s="51" t="s">
        <v>177</v>
      </c>
      <c r="V3" s="51" t="s">
        <v>178</v>
      </c>
      <c r="W3" s="51" t="s">
        <v>180</v>
      </c>
      <c r="X3" s="51" t="s">
        <v>181</v>
      </c>
      <c r="Y3" s="51" t="s">
        <v>183</v>
      </c>
      <c r="Z3" s="51" t="s">
        <v>179</v>
      </c>
      <c r="AA3" s="49" t="s">
        <v>182</v>
      </c>
      <c r="AB3" s="50" t="s">
        <v>176</v>
      </c>
      <c r="AC3" s="49" t="s">
        <v>120</v>
      </c>
      <c r="AD3" s="50" t="s">
        <v>188</v>
      </c>
      <c r="AE3" s="49" t="s">
        <v>187</v>
      </c>
      <c r="AF3" s="49" t="s">
        <v>213</v>
      </c>
      <c r="AG3" s="49" t="s">
        <v>190</v>
      </c>
      <c r="AH3" s="49" t="s">
        <v>214</v>
      </c>
      <c r="AI3" s="49" t="s">
        <v>215</v>
      </c>
      <c r="AJ3" s="49" t="s">
        <v>279</v>
      </c>
      <c r="AK3" s="49" t="s">
        <v>278</v>
      </c>
      <c r="AL3" s="49" t="s">
        <v>283</v>
      </c>
      <c r="AM3" s="49" t="s">
        <v>282</v>
      </c>
      <c r="AN3" s="49" t="s">
        <v>285</v>
      </c>
      <c r="AO3" s="49" t="s">
        <v>299</v>
      </c>
      <c r="AP3" s="49" t="s">
        <v>300</v>
      </c>
      <c r="AQ3" s="49" t="s">
        <v>301</v>
      </c>
      <c r="AR3" s="49" t="s">
        <v>138</v>
      </c>
      <c r="AS3" s="49" t="s">
        <v>269</v>
      </c>
      <c r="AT3" s="49" t="s">
        <v>286</v>
      </c>
      <c r="AU3" s="50" t="s">
        <v>302</v>
      </c>
      <c r="AV3" s="49" t="s">
        <v>303</v>
      </c>
      <c r="AW3" s="49" t="s">
        <v>307</v>
      </c>
      <c r="AX3" s="49" t="s">
        <v>306</v>
      </c>
      <c r="AY3" s="49" t="s">
        <v>331</v>
      </c>
      <c r="AZ3" s="49" t="s">
        <v>312</v>
      </c>
      <c r="BA3" s="49" t="s">
        <v>332</v>
      </c>
      <c r="BB3" s="49" t="s">
        <v>313</v>
      </c>
      <c r="BC3" s="49" t="s">
        <v>309</v>
      </c>
      <c r="BD3" s="49" t="s">
        <v>314</v>
      </c>
      <c r="BE3" s="49" t="s">
        <v>315</v>
      </c>
      <c r="BF3" s="49" t="s">
        <v>336</v>
      </c>
      <c r="BG3" s="50" t="s">
        <v>346</v>
      </c>
      <c r="BH3" s="50" t="s">
        <v>347</v>
      </c>
      <c r="BI3" s="51" t="s">
        <v>348</v>
      </c>
      <c r="BJ3" s="51" t="s">
        <v>349</v>
      </c>
      <c r="BK3" s="51" t="s">
        <v>350</v>
      </c>
      <c r="BL3" s="51" t="s">
        <v>351</v>
      </c>
      <c r="BM3" s="51" t="s">
        <v>352</v>
      </c>
      <c r="BN3" s="51" t="s">
        <v>354</v>
      </c>
      <c r="BO3" s="49" t="s">
        <v>353</v>
      </c>
    </row>
    <row r="4" spans="1:67" x14ac:dyDescent="0.25">
      <c r="A4" s="37">
        <v>1</v>
      </c>
      <c r="B4" s="37" t="s">
        <v>36</v>
      </c>
      <c r="C4" s="37" t="s">
        <v>76</v>
      </c>
      <c r="D4" s="37">
        <v>1005785665</v>
      </c>
      <c r="E4" s="37" t="s">
        <v>37</v>
      </c>
      <c r="F4" s="47">
        <v>0</v>
      </c>
      <c r="G4" s="52">
        <f>IF(F4/$G$2&lt;=1.001,F4/$G$2,0.6)</f>
        <v>0</v>
      </c>
      <c r="H4" s="47">
        <v>3.9085648148148147E-2</v>
      </c>
      <c r="I4" s="52">
        <f>IF(H4/$I$2&lt;=1.001,H4/$I$2,0.6)</f>
        <v>0.9825429153331392</v>
      </c>
      <c r="J4" s="47">
        <v>3.5960648148148151E-2</v>
      </c>
      <c r="K4" s="52">
        <f>IF(J4/$K$2&lt;=1.001,J4/$K$2,0.6)</f>
        <v>1.00032195750161</v>
      </c>
      <c r="L4" s="47">
        <v>2.3148148148148149E-4</v>
      </c>
      <c r="M4" s="52">
        <f>IF(L4/$M$2&lt;=1.001,L4/$M$2,0.6)</f>
        <v>1.0183299389002037E-2</v>
      </c>
      <c r="N4" s="46">
        <v>4.6527777777777779E-2</v>
      </c>
      <c r="O4" s="52">
        <f>IF(N4/$O$2&lt;=1.001,N4/$O$2,0.6)</f>
        <v>0.99727114859836263</v>
      </c>
      <c r="P4" s="46">
        <v>4.3206018518518519E-2</v>
      </c>
      <c r="Q4" s="52">
        <f>IF(P4/$Q$2&lt;=1.001,P4/$Q$2,0.6)</f>
        <v>1</v>
      </c>
      <c r="R4" s="53">
        <f>AVERAGE(G4,I4,K4,M4,Table1[[#This Row],[%Conexión5]],Table1[[#This Row],[%Conexión6]])*5</f>
        <v>3.325266100685095</v>
      </c>
      <c r="S4" s="54">
        <v>1</v>
      </c>
      <c r="T4" s="53" t="str" cm="1">
        <f t="array" ref="T4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"Tortuga" en el lenguaje de señas colombiano</v>
      </c>
      <c r="U4" s="55">
        <v>4.9000000000000004</v>
      </c>
      <c r="V4" s="55">
        <v>3.6</v>
      </c>
      <c r="W4" s="55">
        <v>3</v>
      </c>
      <c r="X4" s="55">
        <v>3.3</v>
      </c>
      <c r="Y4" s="55">
        <v>1</v>
      </c>
      <c r="Z4" s="55">
        <v>1.7</v>
      </c>
      <c r="AA4" s="56">
        <f>AVERAGE(Table1[[#This Row],[Operaciones sobre piezas (Semana 2) ]:[Escaneo de partes anatómicas (Semana 6) ]])*0.7+Table1[[#This Row],[Asistencia]]*0.3</f>
        <v>2.7615798302055281</v>
      </c>
      <c r="AB4" s="46">
        <v>4.1157407407407406E-2</v>
      </c>
      <c r="AC4" s="52">
        <f>IF(AB4/$AC$2&lt;=1.01,AB4/$AC$2,0.6)</f>
        <v>1</v>
      </c>
      <c r="AD4" s="46">
        <v>3.7384259259259256E-2</v>
      </c>
      <c r="AE4" s="52">
        <f>IF(AD4/$AE$2&lt;=1.01,AD4/$AE$2,0.6)</f>
        <v>0.99599136601911809</v>
      </c>
      <c r="AF4" s="46">
        <v>3.8368055555555558E-2</v>
      </c>
      <c r="AG4" s="52">
        <v>1</v>
      </c>
      <c r="AH4" s="46">
        <v>1.4722222222222222E-2</v>
      </c>
      <c r="AI4" s="52">
        <f>IF(AH4/$AI$2&lt;=1.01,AH4/$AI$2,0.6)</f>
        <v>1</v>
      </c>
      <c r="AJ4" s="46">
        <v>3.5925925925925924E-2</v>
      </c>
      <c r="AK4" s="52">
        <f>IF(AJ4/$AK$2&lt;=1.01,AJ4/$AK$2,0.6)</f>
        <v>1</v>
      </c>
      <c r="AL4" s="47">
        <v>1.0462962962962962E-2</v>
      </c>
      <c r="AM4" s="52">
        <f>IF(AL4/$AM$2&lt;=1.01,AL4/$AM$2,0.6)</f>
        <v>0.34890003859513702</v>
      </c>
      <c r="AN4" s="53">
        <f>AVERAGE(AC4,AE4,AG4,AI4,AK4,AM4)*5</f>
        <v>4.4540761705118799</v>
      </c>
      <c r="AO4" s="56">
        <v>5</v>
      </c>
      <c r="AP4" s="56">
        <v>3</v>
      </c>
      <c r="AQ4" s="56">
        <f>Table1[[#This Row],[Asistencia 2o Corte]]*0.3+AVERAGE(Table1[[#This Row],[Tarea:Introducción a 3DSlicer (Semana 8) (Real)]:[Tarea:Segmentación Manual y Semi-Automática (Semana 10) (Real)]])*0.7</f>
        <v>4.1362228511535637</v>
      </c>
      <c r="AR4" s="56"/>
      <c r="AS4" s="56"/>
      <c r="AT4" s="56"/>
      <c r="AU4" s="61">
        <v>3.6979166666666667E-2</v>
      </c>
      <c r="AV4" s="56">
        <f>IF(AU4/$AV$2&lt;=1.01,AU4/$AV$2,0.6)</f>
        <v>0.99594763092269323</v>
      </c>
      <c r="AW4" s="61">
        <v>3.2650462962962964E-2</v>
      </c>
      <c r="AX4" s="56">
        <f>IF(AW4/$AX$2&lt;=1.01,AW4/$AX$2,0.6)</f>
        <v>1</v>
      </c>
      <c r="AY4" s="61">
        <v>3.6481481481481483E-2</v>
      </c>
      <c r="AZ4" s="56">
        <f>IF(AY4/$AZ$2&lt;=1.01,AY4/$AZ$2,0.6)</f>
        <v>1.0035020694046481</v>
      </c>
      <c r="BA4" s="61">
        <v>3.2673611111111112E-2</v>
      </c>
      <c r="BB4" s="56">
        <f>IF(BA4/$BB$2&lt;=1.01,BA4/$BB$2,0.6)</f>
        <v>0.95922528032619769</v>
      </c>
      <c r="BC4" s="56"/>
      <c r="BD4" s="56"/>
      <c r="BE4" s="56"/>
      <c r="BF4" s="56" t="s">
        <v>339</v>
      </c>
      <c r="BG4" s="56"/>
      <c r="BH4" s="56">
        <f>AVERAGE(AV4,AX4,AZ4,BB4)*5</f>
        <v>4.9483437258169243</v>
      </c>
      <c r="BI4" s="56">
        <v>4.4000000000000004</v>
      </c>
      <c r="BJ4" s="56">
        <v>3.8</v>
      </c>
      <c r="BK4" s="56">
        <v>1.9</v>
      </c>
      <c r="BL4" s="56">
        <v>2.8</v>
      </c>
      <c r="BM4" s="56">
        <v>3.8</v>
      </c>
      <c r="BN4" s="56">
        <f>AVERAGE(Table1[[#This Row],[Tarea:Impresión 3D (Semana 13) (Real)]:[Tarea:Evaluación Final Sincrónica (Semana 17) (Real)]])*0.7+Table1[[#This Row],[nota asistencia]]*0.3</f>
        <v>3.822503117745077</v>
      </c>
      <c r="BO4" s="56">
        <f t="shared" ref="BO4:BO32" si="0">AVERAGE(AA4,AQ4,BN4)</f>
        <v>3.5734352663680564</v>
      </c>
    </row>
    <row r="5" spans="1:67" x14ac:dyDescent="0.25">
      <c r="A5" s="37">
        <v>2</v>
      </c>
      <c r="B5" s="37" t="s">
        <v>42</v>
      </c>
      <c r="C5" s="37" t="s">
        <v>77</v>
      </c>
      <c r="D5" s="37">
        <v>1104804719</v>
      </c>
      <c r="E5" s="37" t="s">
        <v>43</v>
      </c>
      <c r="F5" s="47">
        <v>3.4641203703703702E-2</v>
      </c>
      <c r="G5" s="52">
        <f>IF(F5/$G$2&lt;=1.001,F5/$G$2,0.6)</f>
        <v>0.6</v>
      </c>
      <c r="H5" s="47">
        <v>3.9178240740740743E-2</v>
      </c>
      <c r="I5" s="52">
        <f>IF(H5/$I$2&lt;=1.001,H5/$I$2,0.6)</f>
        <v>0.9848705266220541</v>
      </c>
      <c r="J5" s="47">
        <v>3.5856481481481482E-2</v>
      </c>
      <c r="K5" s="52">
        <f>IF(J5/$K$2&lt;=1.001,J5/$K$2,0.6)</f>
        <v>0.99742433998712177</v>
      </c>
      <c r="L5" s="47">
        <v>1.9652777777777779E-2</v>
      </c>
      <c r="M5" s="52">
        <f>IF(L5/$M$2&lt;=1.001,L5/$M$2,0.6)</f>
        <v>0.86456211812627304</v>
      </c>
      <c r="N5" s="46">
        <v>0</v>
      </c>
      <c r="O5" s="52">
        <f>IF(N5/$O$2&lt;=1.001,N5/$O$2,0.6)</f>
        <v>0</v>
      </c>
      <c r="P5" s="46">
        <v>3.9768518518518516E-2</v>
      </c>
      <c r="Q5" s="52">
        <f>IF(P5/$Q$2&lt;=1.001,P5/$Q$2,0.6)</f>
        <v>0.92043932493972669</v>
      </c>
      <c r="R5" s="53">
        <f>AVERAGE(G5,I5,K5,M5,Table1[[#This Row],[%Conexión5]],Table1[[#This Row],[%Conexión6]])*5</f>
        <v>3.6394135913959795</v>
      </c>
      <c r="S5" s="54">
        <v>4</v>
      </c>
      <c r="T5" s="53" t="str" cm="1">
        <f t="array" ref="T5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"Durazno" en el lenguaje de señas colombiano</v>
      </c>
      <c r="U5" s="55">
        <v>5</v>
      </c>
      <c r="V5" s="55">
        <v>4.9000000000000004</v>
      </c>
      <c r="W5" s="55">
        <v>5</v>
      </c>
      <c r="X5" s="55">
        <v>3.3</v>
      </c>
      <c r="Y5" s="55">
        <v>5</v>
      </c>
      <c r="Z5" s="55">
        <v>4.5</v>
      </c>
      <c r="AA5" s="56">
        <f>AVERAGE(Table1[[#This Row],[Operaciones sobre piezas (Semana 2) ]:[Escaneo de partes anatómicas (Semana 6) ]])*0.7+Table1[[#This Row],[Asistencia]]*0.3</f>
        <v>4.2698240774187939</v>
      </c>
      <c r="AB5" s="46">
        <v>4.0914351851851855E-2</v>
      </c>
      <c r="AC5" s="52">
        <f>IF(AB5/$AC$2&lt;=1.01,AB5/$AC$2,0.6)</f>
        <v>0.9940944881889765</v>
      </c>
      <c r="AD5" s="46">
        <v>1.6608796296296295E-2</v>
      </c>
      <c r="AE5" s="52">
        <f>IF(AD5/$AE$2&lt;=1.01,AD5/$AE$2,0.6)</f>
        <v>0.44249152019734816</v>
      </c>
      <c r="AF5" s="46">
        <v>3.4942129629629629E-2</v>
      </c>
      <c r="AG5" s="52">
        <f>IF(AF5/$AG$2&lt;=1.01,AF5/$AG$2,0.6)</f>
        <v>0.93092815294480424</v>
      </c>
      <c r="AH5" s="46">
        <v>1.4722222222222222E-2</v>
      </c>
      <c r="AI5" s="52">
        <f>IF(AH5/$AI$2&lt;=1.01,AH5/$AI$2,0.6)</f>
        <v>1</v>
      </c>
      <c r="AJ5" s="46">
        <v>1.3819444444444445E-2</v>
      </c>
      <c r="AK5" s="52">
        <f>IF(AJ5/$AK$2&lt;=1.01,AJ5/$AK$2,0.6)</f>
        <v>0.38466494845360827</v>
      </c>
      <c r="AL5" s="47">
        <v>1.0462962962962962E-2</v>
      </c>
      <c r="AM5" s="52">
        <f>IF(AL5/$AM$2&lt;=1.01,AL5/$AM$2,0.6)</f>
        <v>0.34890003859513702</v>
      </c>
      <c r="AN5" s="53">
        <f>AVERAGE(AC5,AE5,AG5,AI5,AK5,AM5)*5</f>
        <v>3.4175659569832284</v>
      </c>
      <c r="AO5" s="56">
        <v>5</v>
      </c>
      <c r="AP5" s="56">
        <v>3.8</v>
      </c>
      <c r="AQ5" s="56">
        <f>Table1[[#This Row],[Asistencia 2o Corte]]*0.3+AVERAGE(Table1[[#This Row],[Tarea:Introducción a 3DSlicer (Semana 8) (Real)]:[Tarea:Segmentación Manual y Semi-Automática (Semana 10) (Real)]])*0.7</f>
        <v>4.1052697870949686</v>
      </c>
      <c r="AR5" s="56"/>
      <c r="AS5" s="56"/>
      <c r="AT5" s="56"/>
      <c r="AU5" s="61">
        <v>2.9548611111111112E-2</v>
      </c>
      <c r="AV5" s="56">
        <f>IF(AU5/$AV$2&lt;=1.01,AU5/$AV$2,0.6)</f>
        <v>0.79582294264339148</v>
      </c>
      <c r="AW5" s="61">
        <v>3.2650462962962964E-2</v>
      </c>
      <c r="AX5" s="56">
        <f>IF(AW5/$AX$2&lt;=1.01,AW5/$AX$2,0.6)</f>
        <v>1</v>
      </c>
      <c r="AY5" s="61">
        <v>2.3009259259259261E-2</v>
      </c>
      <c r="AZ5" s="56">
        <f>IF(AY5/$AZ$2&lt;=1.01,AY5/$AZ$2,0.6)</f>
        <v>0.63291945240369318</v>
      </c>
      <c r="BA5" s="61">
        <v>3.4722222222222222E-5</v>
      </c>
      <c r="BB5" s="56">
        <f>IF(BA5/$BB$2&lt;=1.01,BA5/$BB$2,0.6)</f>
        <v>1.0193679918450559E-3</v>
      </c>
      <c r="BC5" s="56"/>
      <c r="BD5" s="56"/>
      <c r="BE5" s="56"/>
      <c r="BF5" s="56" t="s">
        <v>341</v>
      </c>
      <c r="BG5" s="56"/>
      <c r="BH5" s="56">
        <f>AVERAGE(AV5,AX5,AZ5,BB5)*5</f>
        <v>3.0372022037986617</v>
      </c>
      <c r="BI5" s="56">
        <v>5</v>
      </c>
      <c r="BJ5" s="56">
        <v>4.4000000000000004</v>
      </c>
      <c r="BK5" s="56">
        <v>4.8</v>
      </c>
      <c r="BL5" s="56">
        <v>4.8</v>
      </c>
      <c r="BM5" s="56">
        <v>0.8</v>
      </c>
      <c r="BN5" s="56">
        <f>AVERAGE(Table1[[#This Row],[Tarea:Impresión 3D (Semana 13) (Real)]:[Tarea:Evaluación Final Sincrónica (Semana 17) (Real)]])*0.7+Table1[[#This Row],[nota asistencia]]*0.3</f>
        <v>3.6831606611395982</v>
      </c>
      <c r="BO5" s="56">
        <f t="shared" si="0"/>
        <v>4.0194181752177869</v>
      </c>
    </row>
    <row r="6" spans="1:67" x14ac:dyDescent="0.25">
      <c r="A6" s="37">
        <v>3</v>
      </c>
      <c r="B6" s="37" t="s">
        <v>40</v>
      </c>
      <c r="C6" s="37" t="s">
        <v>78</v>
      </c>
      <c r="D6" s="37">
        <v>1109542109</v>
      </c>
      <c r="E6" s="37" t="s">
        <v>41</v>
      </c>
      <c r="F6" s="47">
        <v>1.6481481481481482E-2</v>
      </c>
      <c r="G6" s="52">
        <f>IF(F6/$G$2&lt;=1.001,F6/$G$2,0.6)</f>
        <v>0.94492368944923688</v>
      </c>
      <c r="H6" s="47">
        <v>3.8530092592592595E-2</v>
      </c>
      <c r="I6" s="52">
        <f>IF(H6/$I$2&lt;=1.001,H6/$I$2,0.6)</f>
        <v>0.9685772475996508</v>
      </c>
      <c r="J6" s="47">
        <v>3.5821759259259262E-2</v>
      </c>
      <c r="K6" s="52">
        <f>IF(J6/$K$2&lt;=1.001,J6/$K$2,0.6)</f>
        <v>0.9964584674822925</v>
      </c>
      <c r="L6" s="47">
        <v>1.0648148148148149E-3</v>
      </c>
      <c r="M6" s="52">
        <f>IF(L6/$M$2&lt;=1.001,L6/$M$2,0.6)</f>
        <v>4.684317718940937E-2</v>
      </c>
      <c r="N6" s="46">
        <v>4.4270833333333336E-2</v>
      </c>
      <c r="O6" s="52">
        <f>IF(N6/$O$2&lt;=1.001,N6/$O$2,0.6)</f>
        <v>0.94889605556933765</v>
      </c>
      <c r="P6" s="46">
        <v>3.9861111111111111E-2</v>
      </c>
      <c r="Q6" s="52">
        <f>IF(P6/$Q$2&lt;=1.001,P6/$Q$2,0.6)</f>
        <v>0.92258237342619875</v>
      </c>
      <c r="R6" s="53">
        <f>AVERAGE(G6,I6,K6,M6,Table1[[#This Row],[%Conexión5]],Table1[[#This Row],[%Conexión6]])*5</f>
        <v>4.0235675089301051</v>
      </c>
      <c r="S6" s="54">
        <v>1</v>
      </c>
      <c r="T6" s="53" t="str" cm="1">
        <f t="array" ref="T6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"Tortuga" en el lenguaje de señas colombiano</v>
      </c>
      <c r="U6" s="55">
        <v>0</v>
      </c>
      <c r="V6" s="55">
        <v>3.9</v>
      </c>
      <c r="W6" s="55">
        <v>4.8</v>
      </c>
      <c r="X6" s="55">
        <v>1.1000000000000001</v>
      </c>
      <c r="Y6" s="55">
        <v>2</v>
      </c>
      <c r="Z6" s="55">
        <v>1.7</v>
      </c>
      <c r="AA6" s="56">
        <f>AVERAGE(Table1[[#This Row],[Operaciones sobre piezas (Semana 2) ]:[Escaneo de partes anatómicas (Semana 6) ]])*0.7+Table1[[#This Row],[Asistencia]]*0.3</f>
        <v>3.097070252679031</v>
      </c>
      <c r="AB6" s="46">
        <v>3.8101851851851852E-2</v>
      </c>
      <c r="AC6" s="52">
        <f>IF(AB6/$AC$2&lt;=1.01,AB6/$AC$2,0.6)</f>
        <v>0.92575928008998876</v>
      </c>
      <c r="AD6" s="46">
        <v>0</v>
      </c>
      <c r="AE6" s="52">
        <f>IF(AD6/$AE$2&lt;=1.01,AD6/$AE$2,0.6)</f>
        <v>0</v>
      </c>
      <c r="AF6" s="46">
        <v>3.7245370370370373E-2</v>
      </c>
      <c r="AG6" s="52">
        <f>IF(AF6/$AG$2&lt;=1.01,AF6/$AG$2,0.6)</f>
        <v>0.99229108849830416</v>
      </c>
      <c r="AH6" s="46">
        <v>1.4722222222222222E-2</v>
      </c>
      <c r="AI6" s="52">
        <f>IF(AH6/$AI$2&lt;=1.01,AH6/$AI$2,0.6)</f>
        <v>1</v>
      </c>
      <c r="AJ6" s="46">
        <v>3.5925925925925924E-2</v>
      </c>
      <c r="AK6" s="52">
        <f>IF(AJ6/$AK$2&lt;=1.01,AJ6/$AK$2,0.6)</f>
        <v>1</v>
      </c>
      <c r="AL6" s="47">
        <v>1.1041666666666667E-2</v>
      </c>
      <c r="AM6" s="52">
        <f>IF(AL6/$AM$2&lt;=1.01,AL6/$AM$2,0.6)</f>
        <v>0.36819760710150523</v>
      </c>
      <c r="AN6" s="53">
        <f>AVERAGE(AC6,AE6,AG6,AI6,AK6,AM6)*5</f>
        <v>3.5718733130748315</v>
      </c>
      <c r="AO6" s="56">
        <v>5</v>
      </c>
      <c r="AP6" s="56">
        <v>2.5</v>
      </c>
      <c r="AQ6" s="56">
        <f>Table1[[#This Row],[Asistencia 2o Corte]]*0.3+AVERAGE(Table1[[#This Row],[Tarea:Introducción a 3DSlicer (Semana 8) (Real)]:[Tarea:Segmentación Manual y Semi-Automática (Semana 10) (Real)]])*0.7</f>
        <v>3.6965619939224492</v>
      </c>
      <c r="AR6" s="56"/>
      <c r="AS6" s="56"/>
      <c r="AT6" s="62" t="s">
        <v>297</v>
      </c>
      <c r="AU6" s="61">
        <v>3.6736111111111108E-2</v>
      </c>
      <c r="AV6" s="62">
        <f>IF(AU6/$AV$2&lt;=1.01,AU6/$AV$2,0.6)</f>
        <v>0.98940149625935148</v>
      </c>
      <c r="AW6" s="61">
        <v>3.2569444444444443E-2</v>
      </c>
      <c r="AX6" s="62">
        <f>IF(AW6/$AX$2&lt;=1.01,AW6/$AX$2,0.6)</f>
        <v>0.99751861042183609</v>
      </c>
      <c r="AY6" s="61">
        <v>3.6331018518518519E-2</v>
      </c>
      <c r="AZ6" s="62">
        <f>IF(AY6/$AZ$2&lt;=1.01,AY6/$AZ$2,0.6)</f>
        <v>0.99936326010824583</v>
      </c>
      <c r="BA6" s="61">
        <v>3.3553240740740738E-2</v>
      </c>
      <c r="BB6" s="62">
        <f>IF(BA6/$BB$2&lt;=1.01,BA6/$BB$2,0.6)</f>
        <v>0.98504926945293902</v>
      </c>
      <c r="BC6" s="62"/>
      <c r="BD6" s="62" t="s">
        <v>316</v>
      </c>
      <c r="BE6" s="56"/>
      <c r="BF6" s="62" t="s">
        <v>338</v>
      </c>
      <c r="BG6" s="56"/>
      <c r="BH6" s="56">
        <f>AVERAGE(AV6,AX6,AZ6,BB6)*5</f>
        <v>4.9641657953029652</v>
      </c>
      <c r="BI6" s="56">
        <v>4.4000000000000004</v>
      </c>
      <c r="BJ6" s="56">
        <v>3.8</v>
      </c>
      <c r="BK6" s="56">
        <v>0</v>
      </c>
      <c r="BL6" s="56">
        <v>0</v>
      </c>
      <c r="BM6" s="56">
        <v>3.4</v>
      </c>
      <c r="BN6" s="56">
        <f>AVERAGE(Table1[[#This Row],[Tarea:Impresión 3D (Semana 13) (Real)]:[Tarea:Evaluación Final Sincrónica (Semana 17) (Real)]])*0.7+Table1[[#This Row],[nota asistencia]]*0.3</f>
        <v>3.1132497385908895</v>
      </c>
      <c r="BO6" s="56">
        <f t="shared" si="0"/>
        <v>3.3022939950641237</v>
      </c>
    </row>
    <row r="7" spans="1:67" x14ac:dyDescent="0.25">
      <c r="A7" s="37">
        <v>5</v>
      </c>
      <c r="B7" s="37" t="s">
        <v>14</v>
      </c>
      <c r="C7" s="37" t="s">
        <v>80</v>
      </c>
      <c r="D7" s="37">
        <v>1113978874</v>
      </c>
      <c r="E7" s="37" t="s">
        <v>15</v>
      </c>
      <c r="F7" s="47">
        <v>1.744212962962963E-2</v>
      </c>
      <c r="G7" s="52">
        <f>IF(F7/$G$2&lt;=1.001,F7/$G$2,0.6)</f>
        <v>1</v>
      </c>
      <c r="H7" s="47">
        <v>3.9814814814814817E-2</v>
      </c>
      <c r="I7" s="52">
        <f>IF(H7/$I$2&lt;=1.001,H7/$I$2,0.6)</f>
        <v>1.0008728542333429</v>
      </c>
      <c r="J7" s="47">
        <v>3.5960648148148151E-2</v>
      </c>
      <c r="K7" s="52">
        <f>IF(J7/$K$2&lt;=1.001,J7/$K$2,0.6)</f>
        <v>1.00032195750161</v>
      </c>
      <c r="L7" s="47">
        <v>2.1203703703703704E-2</v>
      </c>
      <c r="M7" s="52">
        <f>IF(L7/$M$2&lt;=1.001,L7/$M$2,0.6)</f>
        <v>0.9327902240325866</v>
      </c>
      <c r="N7" s="46">
        <v>4.6666666666666669E-2</v>
      </c>
      <c r="O7" s="52">
        <f>IF(N7/$O$2&lt;=1.001,N7/$O$2,0.6)</f>
        <v>1.0002480774001488</v>
      </c>
      <c r="P7" s="46">
        <v>4.3206018518518519E-2</v>
      </c>
      <c r="Q7" s="52">
        <f>IF(P7/$Q$2&lt;=1.001,P7/$Q$2,0.6)</f>
        <v>1</v>
      </c>
      <c r="R7" s="53">
        <f>AVERAGE(G7,I7,K7,M7,Table1[[#This Row],[%Conexión5]],Table1[[#This Row],[%Conexión6]])*5</f>
        <v>4.9451942609730732</v>
      </c>
      <c r="S7" s="54">
        <v>4</v>
      </c>
      <c r="T7" s="53" t="str" cm="1">
        <f t="array" ref="T7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"Durazno" en el lenguaje de señas colombiano</v>
      </c>
      <c r="U7" s="55">
        <v>5</v>
      </c>
      <c r="V7" s="55">
        <v>4.9000000000000004</v>
      </c>
      <c r="W7" s="55">
        <v>5</v>
      </c>
      <c r="X7" s="55">
        <v>5</v>
      </c>
      <c r="Y7" s="55">
        <v>5</v>
      </c>
      <c r="Z7" s="55">
        <v>4.5</v>
      </c>
      <c r="AA7" s="56">
        <f>AVERAGE(Table1[[#This Row],[Operaciones sobre piezas (Semana 2) ]:[Escaneo de partes anatómicas (Semana 6) ]])*0.7+Table1[[#This Row],[Asistencia]]*0.3</f>
        <v>4.8995582782919218</v>
      </c>
      <c r="AB7" s="46">
        <v>3.9328703703703706E-2</v>
      </c>
      <c r="AC7" s="52">
        <f>IF(AB7/$AC$2&lt;=1.01,AB7/$AC$2,0.6)</f>
        <v>0.95556805399325095</v>
      </c>
      <c r="AD7" s="46">
        <v>3.7384259259259256E-2</v>
      </c>
      <c r="AE7" s="52">
        <f>IF(AD7/$AE$2&lt;=1.01,AD7/$AE$2,0.6)</f>
        <v>0.99599136601911809</v>
      </c>
      <c r="AF7" s="46">
        <v>3.8368055555555558E-2</v>
      </c>
      <c r="AG7" s="52">
        <v>1</v>
      </c>
      <c r="AH7" s="46">
        <v>1.4722222222222222E-2</v>
      </c>
      <c r="AI7" s="52">
        <f>IF(AH7/$AI$2&lt;=1.01,AH7/$AI$2,0.6)</f>
        <v>1</v>
      </c>
      <c r="AJ7" s="46">
        <v>3.5509259259259261E-2</v>
      </c>
      <c r="AK7" s="52">
        <f>IF(AJ7/$AK$2&lt;=1.01,AJ7/$AK$2,0.6)</f>
        <v>0.98840206185567026</v>
      </c>
      <c r="AL7" s="47">
        <v>1.0462962962962962E-2</v>
      </c>
      <c r="AM7" s="52">
        <f>IF(AL7/$AM$2&lt;=1.01,AL7/$AM$2,0.6)</f>
        <v>0.34890003859513702</v>
      </c>
      <c r="AN7" s="53">
        <f>AVERAGE(AC7,AE7,AG7,AI7,AK7,AM7)*5</f>
        <v>4.4073846003859805</v>
      </c>
      <c r="AO7" s="56">
        <v>5</v>
      </c>
      <c r="AP7" s="56">
        <v>4.3</v>
      </c>
      <c r="AQ7" s="56">
        <f>Table1[[#This Row],[Asistencia 2o Corte]]*0.3+AVERAGE(Table1[[#This Row],[Tarea:Introducción a 3DSlicer (Semana 8) (Real)]:[Tarea:Segmentación Manual y Semi-Automática (Semana 10) (Real)]])*0.7</f>
        <v>4.5772153801157938</v>
      </c>
      <c r="AR7" s="56"/>
      <c r="AS7" s="56"/>
      <c r="AT7" s="56"/>
      <c r="AU7" s="61">
        <v>3.712962962962963E-2</v>
      </c>
      <c r="AV7" s="56">
        <f>IF(AU7/$AV$2&lt;=1.01,AU7/$AV$2,0.6)</f>
        <v>1</v>
      </c>
      <c r="AW7" s="61">
        <v>2.7037037037037037E-2</v>
      </c>
      <c r="AX7" s="56">
        <f>IF(AW7/$AX$2&lt;=1.01,AW7/$AX$2,0.6)</f>
        <v>0.82807515065579573</v>
      </c>
      <c r="AY7" s="61">
        <v>3.6481481481481483E-2</v>
      </c>
      <c r="AZ7" s="56">
        <f>IF(AY7/$AZ$2&lt;=1.01,AY7/$AZ$2,0.6)</f>
        <v>1.0035020694046481</v>
      </c>
      <c r="BA7" s="61">
        <v>3.3090277777777781E-2</v>
      </c>
      <c r="BB7" s="56">
        <f>IF(BA7/$BB$2&lt;=1.01,BA7/$BB$2,0.6)</f>
        <v>0.97145769622833844</v>
      </c>
      <c r="BC7" s="56"/>
      <c r="BD7" s="56"/>
      <c r="BE7" s="56"/>
      <c r="BF7" s="56" t="s">
        <v>340</v>
      </c>
      <c r="BG7" s="56"/>
      <c r="BH7" s="56">
        <f>AVERAGE(AV7,AX7,AZ7,BB7)*5</f>
        <v>4.7537936453609779</v>
      </c>
      <c r="BI7" s="56">
        <v>5</v>
      </c>
      <c r="BJ7" s="56">
        <v>4.4000000000000004</v>
      </c>
      <c r="BK7" s="56">
        <v>4.8</v>
      </c>
      <c r="BL7" s="56">
        <v>4.8</v>
      </c>
      <c r="BM7" s="56">
        <v>5</v>
      </c>
      <c r="BN7" s="56">
        <f>AVERAGE(Table1[[#This Row],[Tarea:Impresión 3D (Semana 13) (Real)]:[Tarea:Evaluación Final Sincrónica (Semana 17) (Real)]])*0.7+Table1[[#This Row],[nota asistencia]]*0.3</f>
        <v>4.7861380936082929</v>
      </c>
      <c r="BO7" s="56">
        <f t="shared" si="0"/>
        <v>4.7543039173386701</v>
      </c>
    </row>
    <row r="8" spans="1:67" x14ac:dyDescent="0.25">
      <c r="A8" s="37">
        <v>6</v>
      </c>
      <c r="B8" s="37" t="s">
        <v>28</v>
      </c>
      <c r="C8" s="37" t="s">
        <v>81</v>
      </c>
      <c r="D8" s="37">
        <v>1007560675</v>
      </c>
      <c r="E8" s="37" t="s">
        <v>29</v>
      </c>
      <c r="F8" s="47">
        <v>5.2083333333333333E-4</v>
      </c>
      <c r="G8" s="52">
        <f>IF(F8/$G$2&lt;=1.001,F8/$G$2,0.6)</f>
        <v>2.98606502986065E-2</v>
      </c>
      <c r="H8" s="47">
        <v>3.9074074074074074E-2</v>
      </c>
      <c r="I8" s="52">
        <f>IF(H8/$I$2&lt;=1.001,H8/$I$2,0.6)</f>
        <v>0.98225196392202496</v>
      </c>
      <c r="J8" s="47">
        <v>3.5763888888888887E-2</v>
      </c>
      <c r="K8" s="52">
        <f>IF(J8/$K$2&lt;=1.001,J8/$K$2,0.6)</f>
        <v>0.99484867997424342</v>
      </c>
      <c r="L8" s="47">
        <v>1.8090277777777778E-2</v>
      </c>
      <c r="M8" s="52">
        <f>IF(L8/$M$2&lt;=1.001,L8/$M$2,0.6)</f>
        <v>0.79582484725050917</v>
      </c>
      <c r="N8" s="46">
        <v>4.6388888888888889E-2</v>
      </c>
      <c r="O8" s="52">
        <f>IF(N8/$O$2&lt;=1.001,N8/$O$2,0.6)</f>
        <v>0.99429421979657651</v>
      </c>
      <c r="P8" s="46">
        <v>4.1805555555555554E-2</v>
      </c>
      <c r="Q8" s="52">
        <f>IF(P8/$Q$2&lt;=1.001,P8/$Q$2,0.6)</f>
        <v>0.96758639164211091</v>
      </c>
      <c r="R8" s="53">
        <f>AVERAGE(G8,I8,K8,M8,Table1[[#This Row],[%Conexión5]],Table1[[#This Row],[%Conexión6]])*5</f>
        <v>3.970555627403392</v>
      </c>
      <c r="S8" s="54">
        <v>3</v>
      </c>
      <c r="T8" s="53" t="str" cm="1">
        <f t="array" ref="T8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"Oveja" en el lenguaje de señas colombiano</v>
      </c>
      <c r="U8" s="55">
        <v>5</v>
      </c>
      <c r="V8" s="55">
        <v>5</v>
      </c>
      <c r="W8" s="55">
        <v>4</v>
      </c>
      <c r="X8" s="55">
        <v>5</v>
      </c>
      <c r="Y8" s="55">
        <v>5</v>
      </c>
      <c r="Z8" s="55">
        <v>4.5</v>
      </c>
      <c r="AA8" s="56">
        <f>AVERAGE(Table1[[#This Row],[Operaciones sobre piezas (Semana 2) ]:[Escaneo de partes anatómicas (Semana 6) ]])*0.7+Table1[[#This Row],[Asistencia]]*0.3</f>
        <v>4.4811666882210179</v>
      </c>
      <c r="AB8" s="46">
        <v>3.6736111111111108E-2</v>
      </c>
      <c r="AC8" s="52">
        <f>IF(AB8/$AC$2&lt;=1.01,AB8/$AC$2,0.6)</f>
        <v>0.89257592800899888</v>
      </c>
      <c r="AD8" s="46">
        <v>3.2986111111111112E-2</v>
      </c>
      <c r="AE8" s="52">
        <f>IF(AD8/$AE$2&lt;=1.01,AD8/$AE$2,0.6)</f>
        <v>0.87881591119333957</v>
      </c>
      <c r="AF8" s="46">
        <v>3.6724537037037035E-2</v>
      </c>
      <c r="AG8" s="52">
        <f>IF(AF8/$AG$2&lt;=1.01,AF8/$AG$2,0.6)</f>
        <v>0.97841504779525135</v>
      </c>
      <c r="AH8" s="46">
        <v>1.4722222222222222E-2</v>
      </c>
      <c r="AI8" s="52">
        <f>IF(AH8/$AI$2&lt;=1.01,AH8/$AI$2,0.6)</f>
        <v>1</v>
      </c>
      <c r="AJ8" s="46">
        <v>3.5925925925925924E-2</v>
      </c>
      <c r="AK8" s="52">
        <f>IF(AJ8/$AK$2&lt;=1.01,AJ8/$AK$2,0.6)</f>
        <v>1</v>
      </c>
      <c r="AL8" s="47">
        <v>2.690972222222222E-2</v>
      </c>
      <c r="AM8" s="52">
        <f>IF(AL8/$AM$2&lt;=1.01,AL8/$AM$2,0.6)</f>
        <v>0.89733693554612115</v>
      </c>
      <c r="AN8" s="53">
        <f>AVERAGE(AC8,AE8,AG8,AI8,AK8,AM8)*5</f>
        <v>4.7059531854530929</v>
      </c>
      <c r="AO8" s="56">
        <v>0</v>
      </c>
      <c r="AP8" s="56">
        <v>2.6</v>
      </c>
      <c r="AQ8" s="56">
        <f>Table1[[#This Row],[Asistencia 2o Corte]]*0.3+AVERAGE(Table1[[#This Row],[Tarea:Introducción a 3DSlicer (Semana 8) (Real)]:[Tarea:Segmentación Manual y Semi-Automática (Semana 10) (Real)]])*0.7</f>
        <v>2.3217859556359279</v>
      </c>
      <c r="AR8" s="56"/>
      <c r="AS8" s="56" t="s">
        <v>275</v>
      </c>
      <c r="AT8" s="56" t="s">
        <v>289</v>
      </c>
      <c r="AU8" s="61">
        <v>3.7141203703703704E-2</v>
      </c>
      <c r="AV8" s="56">
        <f>IF(AU8/$AV$2&lt;=1.01,AU8/$AV$2,0.6)</f>
        <v>1.0003117206982544</v>
      </c>
      <c r="AW8" s="61">
        <v>3.2650462962962964E-2</v>
      </c>
      <c r="AX8" s="56">
        <f>IF(AW8/$AX$2&lt;=1.01,AW8/$AX$2,0.6)</f>
        <v>1</v>
      </c>
      <c r="AY8" s="61">
        <v>3.4965277777777776E-2</v>
      </c>
      <c r="AZ8" s="56">
        <f>IF(AY8/$AZ$2&lt;=1.01,AY8/$AZ$2,0.6)</f>
        <v>0.96179560649474682</v>
      </c>
      <c r="BA8" s="61">
        <v>3.4062500000000002E-2</v>
      </c>
      <c r="BB8" s="56">
        <f>IF(BA8/$BB$2&lt;=1.01,BA8/$BB$2,0.6)</f>
        <v>1</v>
      </c>
      <c r="BC8" s="56" t="s">
        <v>310</v>
      </c>
      <c r="BD8" s="56" t="s">
        <v>322</v>
      </c>
      <c r="BE8" s="62" t="s">
        <v>326</v>
      </c>
      <c r="BF8" s="56" t="s">
        <v>344</v>
      </c>
      <c r="BG8" s="56"/>
      <c r="BH8" s="56">
        <f>AVERAGE(AV8,AX8,AZ8,BB8)*5</f>
        <v>4.9526341589912519</v>
      </c>
      <c r="BI8" s="56">
        <v>5</v>
      </c>
      <c r="BJ8" s="56">
        <v>4.7</v>
      </c>
      <c r="BK8" s="56">
        <v>4.8</v>
      </c>
      <c r="BL8" s="56">
        <v>4.3</v>
      </c>
      <c r="BM8" s="56">
        <v>3.4</v>
      </c>
      <c r="BN8" s="56">
        <f>AVERAGE(Table1[[#This Row],[Tarea:Impresión 3D (Semana 13) (Real)]:[Tarea:Evaluación Final Sincrónica (Semana 17) (Real)]])*0.7+Table1[[#This Row],[nota asistencia]]*0.3</f>
        <v>4.5937902476973749</v>
      </c>
      <c r="BO8" s="56">
        <f t="shared" si="0"/>
        <v>3.798914297184774</v>
      </c>
    </row>
    <row r="9" spans="1:67" x14ac:dyDescent="0.25">
      <c r="A9" s="37">
        <v>7</v>
      </c>
      <c r="B9" s="57" t="s">
        <v>8</v>
      </c>
      <c r="C9" s="57" t="s">
        <v>82</v>
      </c>
      <c r="D9" s="37">
        <v>1004189893</v>
      </c>
      <c r="E9" s="37" t="s">
        <v>9</v>
      </c>
      <c r="F9" s="47">
        <v>0</v>
      </c>
      <c r="G9" s="52">
        <f>IF(F9/$G$2&lt;=1.001,F9/$G$2,0.6)</f>
        <v>0</v>
      </c>
      <c r="H9" s="47">
        <v>0</v>
      </c>
      <c r="I9" s="52">
        <f>IF(H9/$I$2&lt;=1.001,H9/$I$2,0.6)</f>
        <v>0</v>
      </c>
      <c r="J9" s="47">
        <v>0</v>
      </c>
      <c r="K9" s="52">
        <f>IF(J9/$K$2&lt;=1.001,J9/$K$2,0.6)</f>
        <v>0</v>
      </c>
      <c r="L9" s="47">
        <v>0</v>
      </c>
      <c r="M9" s="52">
        <f>IF(L9/$M$2&lt;=1.001,L9/$M$2,0.6)</f>
        <v>0</v>
      </c>
      <c r="N9" s="46">
        <v>0</v>
      </c>
      <c r="O9" s="52">
        <f>IF(N9/$O$2&lt;=1.001,N9/$O$2,0.6)</f>
        <v>0</v>
      </c>
      <c r="P9" s="46">
        <v>0</v>
      </c>
      <c r="Q9" s="52">
        <f>IF(P9/$Q$2&lt;=1.001,P9/$Q$2,0.6)</f>
        <v>0</v>
      </c>
      <c r="R9" s="53">
        <f>AVERAGE(G9,I9,K9,M9,Table1[[#This Row],[%Conexión5]],Table1[[#This Row],[%Conexión6]])*5</f>
        <v>0</v>
      </c>
      <c r="S9" s="54"/>
      <c r="T9" s="53" t="str" cm="1">
        <f t="array" ref="T9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--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6">
        <f>AVERAGE(Table1[[#This Row],[Operaciones sobre piezas (Semana 2) ]:[Escaneo de partes anatómicas (Semana 6) ]])*0.7+Table1[[#This Row],[Asistencia]]*0.3</f>
        <v>0</v>
      </c>
      <c r="AB9" s="46">
        <v>0</v>
      </c>
      <c r="AC9" s="52">
        <f>IF(AB9/$AC$2&lt;=1.01,AB9/$AC$2,0.6)</f>
        <v>0</v>
      </c>
      <c r="AD9" s="46">
        <v>0</v>
      </c>
      <c r="AE9" s="52">
        <f>IF(AD9/$AE$2&lt;=1.01,AD9/$AE$2,0.6)</f>
        <v>0</v>
      </c>
      <c r="AF9" s="46">
        <v>0</v>
      </c>
      <c r="AG9" s="52">
        <f>IF(AF9/$AG$2&lt;=1.01,AF9/$AG$2,0.6)</f>
        <v>0</v>
      </c>
      <c r="AH9" s="46">
        <v>0</v>
      </c>
      <c r="AI9" s="52">
        <f>IF(AH9/$AI$2&lt;=1.01,AH9/$AI$2,0.6)</f>
        <v>0</v>
      </c>
      <c r="AJ9" s="46">
        <v>0</v>
      </c>
      <c r="AK9" s="52">
        <f>IF(AJ9/$AK$2&lt;=1.01,AJ9/$AK$2,0.6)</f>
        <v>0</v>
      </c>
      <c r="AL9" s="52">
        <f>IF(AK9/$AK$2&lt;=1.01,AK9/$AK$2,0.6)</f>
        <v>0</v>
      </c>
      <c r="AM9" s="52">
        <f>IF(AL9/$AM$2&lt;=1.01,AL9/$AM$2,0.6)</f>
        <v>0</v>
      </c>
      <c r="AN9" s="53">
        <f>AVERAGE(AC9,AE9,AG9,AI9,AK9,AM9)*5</f>
        <v>0</v>
      </c>
      <c r="AO9" s="56">
        <v>0</v>
      </c>
      <c r="AP9" s="56">
        <v>0</v>
      </c>
      <c r="AQ9" s="56">
        <f>Table1[[#This Row],[Asistencia 2o Corte]]*0.3+AVERAGE(Table1[[#This Row],[Tarea:Introducción a 3DSlicer (Semana 8) (Real)]:[Tarea:Segmentación Manual y Semi-Automática (Semana 10) (Real)]])*0.7</f>
        <v>0</v>
      </c>
      <c r="AR9" s="56"/>
      <c r="AS9" s="56"/>
      <c r="AT9" s="56"/>
      <c r="AU9" s="61">
        <v>0</v>
      </c>
      <c r="AV9" s="56">
        <f>IF(AU9/$AV$2&lt;=1.01,AU9/$AV$2,0.6)</f>
        <v>0</v>
      </c>
      <c r="AW9" s="61">
        <v>0</v>
      </c>
      <c r="AX9" s="56">
        <f>IF(AW9/$AX$2&lt;=1.01,AW9/$AX$2,0.6)</f>
        <v>0</v>
      </c>
      <c r="AY9" s="61">
        <v>0</v>
      </c>
      <c r="AZ9" s="56">
        <f>IF(AY9/$AZ$2&lt;=1.01,AY9/$AZ$2,0.6)</f>
        <v>0</v>
      </c>
      <c r="BA9" s="61">
        <v>0</v>
      </c>
      <c r="BB9" s="56">
        <f>IF(BA9/$BB$2&lt;=1.01,BA9/$BB$2,0.6)</f>
        <v>0</v>
      </c>
      <c r="BC9" s="56"/>
      <c r="BD9" s="56"/>
      <c r="BE9" s="56"/>
      <c r="BF9" s="56" t="s">
        <v>342</v>
      </c>
      <c r="BG9" s="56"/>
      <c r="BH9" s="56">
        <f>AVERAGE(AV9,AX9,AZ9,BB9)*5</f>
        <v>0</v>
      </c>
      <c r="BI9" s="56">
        <v>0</v>
      </c>
      <c r="BJ9" s="56">
        <v>0</v>
      </c>
      <c r="BK9" s="56">
        <v>0</v>
      </c>
      <c r="BL9" s="56">
        <v>0</v>
      </c>
      <c r="BM9" s="56">
        <v>0</v>
      </c>
      <c r="BN9" s="56">
        <f>AVERAGE(Table1[[#This Row],[Tarea:Impresión 3D (Semana 13) (Real)]:[Tarea:Evaluación Final Sincrónica (Semana 17) (Real)]])*0.7+Table1[[#This Row],[nota asistencia]]*0.3</f>
        <v>0</v>
      </c>
      <c r="BO9" s="56">
        <f t="shared" si="0"/>
        <v>0</v>
      </c>
    </row>
    <row r="10" spans="1:67" x14ac:dyDescent="0.25">
      <c r="A10" s="37">
        <v>8</v>
      </c>
      <c r="B10" s="37" t="s">
        <v>12</v>
      </c>
      <c r="C10" s="37" t="s">
        <v>83</v>
      </c>
      <c r="D10" s="37">
        <v>1005892878</v>
      </c>
      <c r="E10" s="37" t="s">
        <v>13</v>
      </c>
      <c r="F10" s="47">
        <v>1.744212962962963E-2</v>
      </c>
      <c r="G10" s="52">
        <f>IF(F10/$G$2&lt;=1.001,F10/$G$2,0.6)</f>
        <v>1</v>
      </c>
      <c r="H10" s="47">
        <v>3.9814814814814817E-2</v>
      </c>
      <c r="I10" s="52">
        <f>IF(H10/$I$2&lt;=1.001,H10/$I$2,0.6)</f>
        <v>1.0008728542333429</v>
      </c>
      <c r="J10" s="47">
        <v>3.5960648148148151E-2</v>
      </c>
      <c r="K10" s="52">
        <f>IF(J10/$K$2&lt;=1.001,J10/$K$2,0.6)</f>
        <v>1.00032195750161</v>
      </c>
      <c r="L10" s="47">
        <v>1.8935185185185187E-2</v>
      </c>
      <c r="M10" s="52">
        <f>IF(L10/$M$2&lt;=1.001,L10/$M$2,0.6)</f>
        <v>0.83299389002036672</v>
      </c>
      <c r="N10" s="46">
        <v>4.5497685185185183E-2</v>
      </c>
      <c r="O10" s="52">
        <f>IF(N10/$O$2&lt;=1.001,N10/$O$2,0.6)</f>
        <v>0.97519225998511527</v>
      </c>
      <c r="P10" s="46">
        <v>4.1145833333333333E-2</v>
      </c>
      <c r="Q10" s="52">
        <f>IF(P10/$Q$2&lt;=1.001,P10/$Q$2,0.6)</f>
        <v>0.95231717117599779</v>
      </c>
      <c r="R10" s="53">
        <f>AVERAGE(G10,I10,K10,M10,Table1[[#This Row],[%Conexión5]],Table1[[#This Row],[%Conexión6]])*5</f>
        <v>4.8014151107636938</v>
      </c>
      <c r="S10" s="54">
        <v>5</v>
      </c>
      <c r="T10" s="53" t="str" cm="1">
        <f t="array" ref="T10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"Caracol" en el lenguaje de señas colombiano</v>
      </c>
      <c r="U10" s="55">
        <v>5</v>
      </c>
      <c r="V10" s="55">
        <v>4.5</v>
      </c>
      <c r="W10" s="55">
        <v>5</v>
      </c>
      <c r="X10" s="55">
        <v>3.3</v>
      </c>
      <c r="Y10" s="55">
        <v>5</v>
      </c>
      <c r="Z10" s="55">
        <v>4.5</v>
      </c>
      <c r="AA10" s="56">
        <f>AVERAGE(Table1[[#This Row],[Operaciones sobre piezas (Semana 2) ]:[Escaneo de partes anatómicas (Semana 6) ]])*0.7+Table1[[#This Row],[Asistencia]]*0.3</f>
        <v>4.562424533229108</v>
      </c>
      <c r="AB10" s="46">
        <v>3.9305555555555559E-2</v>
      </c>
      <c r="AC10" s="52">
        <f>IF(AB10/$AC$2&lt;=1.01,AB10/$AC$2,0.6)</f>
        <v>0.95500562429696301</v>
      </c>
      <c r="AD10" s="46">
        <v>3.7384259259259256E-2</v>
      </c>
      <c r="AE10" s="52">
        <f>IF(AD10/$AE$2&lt;=1.01,AD10/$AE$2,0.6)</f>
        <v>0.99599136601911809</v>
      </c>
      <c r="AF10" s="46">
        <v>2.9363425925925925E-2</v>
      </c>
      <c r="AG10" s="52">
        <f>IF(AF10/$AG$2&lt;=1.01,AF10/$AG$2,0.6)</f>
        <v>0.78230033919210606</v>
      </c>
      <c r="AH10" s="46">
        <v>1.4722222222222222E-2</v>
      </c>
      <c r="AI10" s="52">
        <f>IF(AH10/$AI$2&lt;=1.01,AH10/$AI$2,0.6)</f>
        <v>1</v>
      </c>
      <c r="AJ10" s="46">
        <v>3.5925925925925924E-2</v>
      </c>
      <c r="AK10" s="52">
        <f>IF(AJ10/$AK$2&lt;=1.01,AJ10/$AK$2,0.6)</f>
        <v>1</v>
      </c>
      <c r="AL10" s="47">
        <v>1.2233796296296295E-2</v>
      </c>
      <c r="AM10" s="52">
        <f>IF(AL10/$AM$2&lt;=1.01,AL10/$AM$2,0.6)</f>
        <v>0.40795059822462365</v>
      </c>
      <c r="AN10" s="53">
        <f>AVERAGE(AC10,AE10,AG10,AI10,AK10,AM10)*5</f>
        <v>4.2843732731106758</v>
      </c>
      <c r="AO10" s="56">
        <v>5</v>
      </c>
      <c r="AP10" s="56">
        <v>0</v>
      </c>
      <c r="AQ10" s="56">
        <f>Table1[[#This Row],[Asistencia 2o Corte]]*0.3+AVERAGE(Table1[[#This Row],[Tarea:Introducción a 3DSlicer (Semana 8) (Real)]:[Tarea:Segmentación Manual y Semi-Automática (Semana 10) (Real)]])*0.7</f>
        <v>3.0353119819332024</v>
      </c>
      <c r="AR10" s="56"/>
      <c r="AS10" s="56"/>
      <c r="AT10" s="56"/>
      <c r="AU10" s="61">
        <v>3.712962962962963E-2</v>
      </c>
      <c r="AV10" s="56">
        <f>IF(AU10/$AV$2&lt;=1.01,AU10/$AV$2,0.6)</f>
        <v>1</v>
      </c>
      <c r="AW10" s="61">
        <v>3.2650462962962964E-2</v>
      </c>
      <c r="AX10" s="56">
        <f>IF(AW10/$AX$2&lt;=1.01,AW10/$AX$2,0.6)</f>
        <v>1</v>
      </c>
      <c r="AY10" s="61">
        <v>3.6319444444444446E-2</v>
      </c>
      <c r="AZ10" s="56">
        <f>IF(AY10/$AZ$2&lt;=1.01,AY10/$AZ$2,0.6)</f>
        <v>0.99904489016236875</v>
      </c>
      <c r="BA10" s="61">
        <v>3.4074074074074076E-2</v>
      </c>
      <c r="BB10" s="56">
        <f>IF(BA10/$BB$2&lt;=1.01,BA10/$BB$2,0.6)</f>
        <v>1.000339789330615</v>
      </c>
      <c r="BC10" s="56"/>
      <c r="BD10" s="56"/>
      <c r="BE10" s="56"/>
      <c r="BF10" s="56" t="s">
        <v>345</v>
      </c>
      <c r="BG10" s="56"/>
      <c r="BH10" s="56">
        <f>AVERAGE(AV10,AX10,AZ10,BB10)*5</f>
        <v>4.9992308493662296</v>
      </c>
      <c r="BI10" s="56">
        <v>4.4000000000000004</v>
      </c>
      <c r="BJ10" s="56">
        <v>3.5</v>
      </c>
      <c r="BK10" s="56">
        <v>4.3</v>
      </c>
      <c r="BL10" s="56">
        <v>3.8</v>
      </c>
      <c r="BM10" s="56">
        <v>3</v>
      </c>
      <c r="BN10" s="56">
        <f>AVERAGE(Table1[[#This Row],[Tarea:Impresión 3D (Semana 13) (Real)]:[Tarea:Evaluación Final Sincrónica (Semana 17) (Real)]])*0.7+Table1[[#This Row],[nota asistencia]]*0.3</f>
        <v>4.1597692548098681</v>
      </c>
      <c r="BO10" s="56">
        <f t="shared" si="0"/>
        <v>3.919168589990726</v>
      </c>
    </row>
    <row r="11" spans="1:67" x14ac:dyDescent="0.25">
      <c r="A11" s="37">
        <v>9</v>
      </c>
      <c r="B11" s="37" t="s">
        <v>24</v>
      </c>
      <c r="C11" s="37" t="s">
        <v>84</v>
      </c>
      <c r="D11" s="37">
        <v>1107837304</v>
      </c>
      <c r="E11" s="37" t="s">
        <v>25</v>
      </c>
      <c r="F11" s="47">
        <v>3.8090277777777778E-2</v>
      </c>
      <c r="G11" s="52">
        <f>IF(F11/$G$2&lt;=1.001,F11/$G$2,0.6)</f>
        <v>0.6</v>
      </c>
      <c r="H11" s="47">
        <v>3.8541666666666669E-2</v>
      </c>
      <c r="I11" s="52">
        <f>IF(H11/$I$2&lt;=1.001,H11/$I$2,0.6)</f>
        <v>0.96886819901076515</v>
      </c>
      <c r="J11" s="47">
        <v>3.3229166666666664E-2</v>
      </c>
      <c r="K11" s="52">
        <f>IF(J11/$K$2&lt;=1.001,J11/$K$2,0.6)</f>
        <v>0.92433998712169996</v>
      </c>
      <c r="L11" s="47">
        <v>5.115740740740741E-3</v>
      </c>
      <c r="M11" s="52">
        <f>IF(L11/$M$2&lt;=1.001,L11/$M$2,0.6)</f>
        <v>0.22505091649694503</v>
      </c>
      <c r="N11" s="46">
        <v>4.4849537037037035E-2</v>
      </c>
      <c r="O11" s="52">
        <f>IF(N11/$O$2&lt;=1.001,N11/$O$2,0.6)</f>
        <v>0.9612999255767799</v>
      </c>
      <c r="P11" s="46">
        <v>3.9386574074074074E-2</v>
      </c>
      <c r="Q11" s="52">
        <f>IF(P11/$Q$2&lt;=1.001,P11/$Q$2,0.6)</f>
        <v>0.91159924993302976</v>
      </c>
      <c r="R11" s="53">
        <f>AVERAGE(G11,I11,K11,M11,Table1[[#This Row],[%Conexión5]],Table1[[#This Row],[%Conexión6]])*5</f>
        <v>3.8259652317826838</v>
      </c>
      <c r="S11" s="54">
        <v>5</v>
      </c>
      <c r="T11" s="53" t="str" cm="1">
        <f t="array" ref="T11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"Caracol" en el lenguaje de señas colombiano</v>
      </c>
      <c r="U11" s="55">
        <v>4.8</v>
      </c>
      <c r="V11" s="55">
        <v>4.0999999999999996</v>
      </c>
      <c r="W11" s="55">
        <v>5</v>
      </c>
      <c r="X11" s="55">
        <v>3.3</v>
      </c>
      <c r="Y11" s="55">
        <v>5</v>
      </c>
      <c r="Z11" s="55">
        <v>4.5</v>
      </c>
      <c r="AA11" s="56">
        <f>AVERAGE(Table1[[#This Row],[Operaciones sobre piezas (Semana 2) ]:[Escaneo de partes anatómicas (Semana 6) ]])*0.7+Table1[[#This Row],[Asistencia]]*0.3</f>
        <v>4.2137895695348053</v>
      </c>
      <c r="AB11" s="46">
        <v>3.8101851851851852E-2</v>
      </c>
      <c r="AC11" s="52">
        <f>IF(AB11/$AC$2&lt;=1.01,AB11/$AC$2,0.6)</f>
        <v>0.92575928008998876</v>
      </c>
      <c r="AD11" s="46">
        <v>3.7384259259259256E-2</v>
      </c>
      <c r="AE11" s="52">
        <f>IF(AD11/$AE$2&lt;=1.01,AD11/$AE$2,0.6)</f>
        <v>0.99599136601911809</v>
      </c>
      <c r="AF11" s="46">
        <v>3.8368055555555558E-2</v>
      </c>
      <c r="AG11" s="52">
        <v>1</v>
      </c>
      <c r="AH11" s="46">
        <v>1.4722222222222222E-2</v>
      </c>
      <c r="AI11" s="52">
        <f>IF(AH11/$AI$2&lt;=1.01,AH11/$AI$2,0.6)</f>
        <v>1</v>
      </c>
      <c r="AJ11" s="46">
        <v>3.5752314814814813E-2</v>
      </c>
      <c r="AK11" s="52">
        <f>IF(AJ11/$AK$2&lt;=1.01,AJ11/$AK$2,0.6)</f>
        <v>0.99516752577319589</v>
      </c>
      <c r="AL11" s="47">
        <v>2.2719907407407411E-2</v>
      </c>
      <c r="AM11" s="52">
        <f>IF(AL11/$AM$2&lt;=1.01,AL11/$AM$2,0.6)</f>
        <v>0.75762253956001557</v>
      </c>
      <c r="AN11" s="53">
        <f>AVERAGE(AC11,AE11,AG11,AI11,AK11,AM11)*5</f>
        <v>4.728783926201932</v>
      </c>
      <c r="AO11" s="56">
        <v>5</v>
      </c>
      <c r="AP11" s="56">
        <v>3.2</v>
      </c>
      <c r="AQ11" s="56">
        <f>Table1[[#This Row],[Asistencia 2o Corte]]*0.3+AVERAGE(Table1[[#This Row],[Tarea:Introducción a 3DSlicer (Semana 8) (Real)]:[Tarea:Segmentación Manual y Semi-Automática (Semana 10) (Real)]])*0.7</f>
        <v>4.2886351778605789</v>
      </c>
      <c r="AR11" s="56"/>
      <c r="AS11" s="56" t="s">
        <v>274</v>
      </c>
      <c r="AT11" s="56"/>
      <c r="AU11" s="61">
        <v>3.712962962962963E-2</v>
      </c>
      <c r="AV11" s="56">
        <f>IF(AU11/$AV$2&lt;=1.01,AU11/$AV$2,0.6)</f>
        <v>1</v>
      </c>
      <c r="AW11" s="61">
        <v>3.2037037037037037E-2</v>
      </c>
      <c r="AX11" s="56">
        <f>IF(AW11/$AX$2&lt;=1.01,AW11/$AX$2,0.6)</f>
        <v>0.98121233605104574</v>
      </c>
      <c r="AY11" s="61">
        <v>3.2731481481481479E-2</v>
      </c>
      <c r="AZ11" s="56">
        <f>IF(AY11/$AZ$2&lt;=1.01,AY11/$AZ$2,0.6)</f>
        <v>0.90035020694046475</v>
      </c>
      <c r="BA11" s="61">
        <v>3.2476851851851854E-2</v>
      </c>
      <c r="BB11" s="56">
        <f>IF(BA11/$BB$2&lt;=1.01,BA11/$BB$2,0.6)</f>
        <v>0.95344886170574239</v>
      </c>
      <c r="BC11" s="56" t="s">
        <v>310</v>
      </c>
      <c r="BD11" s="56" t="s">
        <v>323</v>
      </c>
      <c r="BE11" s="62" t="s">
        <v>328</v>
      </c>
      <c r="BF11" s="56" t="s">
        <v>343</v>
      </c>
      <c r="BG11" s="56"/>
      <c r="BH11" s="56">
        <f>AVERAGE(AV11,AX11,AZ11,BB11)*5</f>
        <v>4.793764255871567</v>
      </c>
      <c r="BI11" s="56">
        <v>4.4000000000000004</v>
      </c>
      <c r="BJ11" s="56">
        <v>3.5</v>
      </c>
      <c r="BK11" s="56">
        <v>4.3</v>
      </c>
      <c r="BL11" s="56">
        <v>3.8</v>
      </c>
      <c r="BM11" s="56">
        <v>3</v>
      </c>
      <c r="BN11" s="56">
        <f>AVERAGE(Table1[[#This Row],[Tarea:Impresión 3D (Semana 13) (Real)]:[Tarea:Evaluación Final Sincrónica (Semana 17) (Real)]])*0.7+Table1[[#This Row],[nota asistencia]]*0.3</f>
        <v>4.0981292767614699</v>
      </c>
      <c r="BO11" s="56">
        <f t="shared" si="0"/>
        <v>4.2001846747189511</v>
      </c>
    </row>
    <row r="12" spans="1:67" x14ac:dyDescent="0.25">
      <c r="A12" s="37">
        <v>10</v>
      </c>
      <c r="B12" s="37" t="s">
        <v>34</v>
      </c>
      <c r="C12" s="37" t="s">
        <v>85</v>
      </c>
      <c r="D12" s="37">
        <v>1058932076</v>
      </c>
      <c r="E12" s="37" t="s">
        <v>35</v>
      </c>
      <c r="F12" s="47">
        <v>3.6388888888888887E-2</v>
      </c>
      <c r="G12" s="52">
        <f>IF(F12/$G$2&lt;=1.001,F12/$G$2,0.6)</f>
        <v>0.6</v>
      </c>
      <c r="H12" s="47">
        <v>3.9282407407407405E-2</v>
      </c>
      <c r="I12" s="52">
        <f>IF(H12/$I$2&lt;=1.001,H12/$I$2,0.6)</f>
        <v>0.98748908932208301</v>
      </c>
      <c r="J12" s="47">
        <v>3.5960648148148151E-2</v>
      </c>
      <c r="K12" s="52">
        <f>IF(J12/$K$2&lt;=1.001,J12/$K$2,0.6)</f>
        <v>1.00032195750161</v>
      </c>
      <c r="L12" s="47">
        <v>2.2395833333333334E-2</v>
      </c>
      <c r="M12" s="52">
        <f>IF(L12/$M$2&lt;=1.001,L12/$M$2,0.6)</f>
        <v>0.98523421588594706</v>
      </c>
      <c r="N12" s="46">
        <v>4.6608796296296294E-2</v>
      </c>
      <c r="O12" s="52">
        <f>IF(N12/$O$2&lt;=1.001,N12/$O$2,0.6)</f>
        <v>0.99900769039940451</v>
      </c>
      <c r="P12" s="46">
        <v>4.3206018518518519E-2</v>
      </c>
      <c r="Q12" s="52">
        <f>IF(P12/$Q$2&lt;=1.001,P12/$Q$2,0.6)</f>
        <v>1</v>
      </c>
      <c r="R12" s="53">
        <f>AVERAGE(G12,I12,K12,M12,Table1[[#This Row],[%Conexión5]],Table1[[#This Row],[%Conexión6]])*5</f>
        <v>4.6433774609242038</v>
      </c>
      <c r="S12" s="54">
        <v>7</v>
      </c>
      <c r="T12" s="53" t="str" cm="1">
        <f t="array" ref="T12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"Flor" en el lenguaje de señas colombiano</v>
      </c>
      <c r="U12" s="55">
        <v>4.4000000000000004</v>
      </c>
      <c r="V12" s="55">
        <v>4.5</v>
      </c>
      <c r="W12" s="55">
        <v>4.8</v>
      </c>
      <c r="X12" s="55">
        <v>1.7</v>
      </c>
      <c r="Y12" s="55">
        <v>5</v>
      </c>
      <c r="Z12" s="55">
        <v>4.5</v>
      </c>
      <c r="AA12" s="56">
        <f>AVERAGE(Table1[[#This Row],[Operaciones sobre piezas (Semana 2) ]:[Escaneo de partes anatómicas (Semana 6) ]])*0.7+Table1[[#This Row],[Asistencia]]*0.3</f>
        <v>4.263013238277261</v>
      </c>
      <c r="AB12" s="46">
        <v>3.6574074074074071E-2</v>
      </c>
      <c r="AC12" s="52">
        <f>IF(AB12/$AC$2&lt;=1.01,AB12/$AC$2,0.6)</f>
        <v>0.88863892013498313</v>
      </c>
      <c r="AD12" s="46">
        <v>3.6747685185185182E-2</v>
      </c>
      <c r="AE12" s="52">
        <f>IF(AD12/$AE$2&lt;=1.01,AD12/$AE$2,0.6)</f>
        <v>0.979031760715387</v>
      </c>
      <c r="AF12" s="46">
        <v>8.1134259259259267E-3</v>
      </c>
      <c r="AG12" s="52">
        <f>IF(AF12/$AG$2&lt;=1.01,AF12/$AG$2,0.6)</f>
        <v>0.21615787850755477</v>
      </c>
      <c r="AH12" s="46">
        <v>1.4722222222222222E-2</v>
      </c>
      <c r="AI12" s="52">
        <f>IF(AH12/$AI$2&lt;=1.01,AH12/$AI$2,0.6)</f>
        <v>1</v>
      </c>
      <c r="AJ12" s="46">
        <v>2.6562499999999999E-2</v>
      </c>
      <c r="AK12" s="52">
        <f>IF(AJ12/$AK$2&lt;=1.01,AJ12/$AK$2,0.6)</f>
        <v>0.73936855670103097</v>
      </c>
      <c r="AL12" s="47">
        <v>1.1678240740740741E-2</v>
      </c>
      <c r="AM12" s="52">
        <f>IF(AL12/$AM$2&lt;=1.01,AL12/$AM$2,0.6)</f>
        <v>0.38942493245851023</v>
      </c>
      <c r="AN12" s="53">
        <f>AVERAGE(AC12,AE12,AG12,AI12,AK12,AM12)*5</f>
        <v>3.5105183737645551</v>
      </c>
      <c r="AO12" s="56">
        <v>5</v>
      </c>
      <c r="AP12" s="56">
        <v>3.8</v>
      </c>
      <c r="AQ12" s="56">
        <f>Table1[[#This Row],[Asistencia 2o Corte]]*0.3+AVERAGE(Table1[[#This Row],[Tarea:Introducción a 3DSlicer (Semana 8) (Real)]:[Tarea:Segmentación Manual y Semi-Automática (Semana 10) (Real)]])*0.7</f>
        <v>4.1331555121293668</v>
      </c>
      <c r="AR12" s="56"/>
      <c r="AS12" s="56" t="s">
        <v>273</v>
      </c>
      <c r="AT12" s="56" t="s">
        <v>289</v>
      </c>
      <c r="AU12" s="61">
        <v>3.712962962962963E-2</v>
      </c>
      <c r="AV12" s="56">
        <f>IF(AU12/$AV$2&lt;=1.01,AU12/$AV$2,0.6)</f>
        <v>1</v>
      </c>
      <c r="AW12" s="61">
        <v>3.1608796296296295E-2</v>
      </c>
      <c r="AX12" s="56">
        <f>IF(AW12/$AX$2&lt;=1.01,AW12/$AX$2,0.6)</f>
        <v>0.96809641970932281</v>
      </c>
      <c r="AY12" s="61">
        <v>3.5011574074074077E-2</v>
      </c>
      <c r="AZ12" s="56">
        <f>IF(AY12/$AZ$2&lt;=1.01,AY12/$AZ$2,0.6)</f>
        <v>0.96306908627825538</v>
      </c>
      <c r="BA12" s="61">
        <v>3.246527777777778E-2</v>
      </c>
      <c r="BB12" s="56">
        <f>IF(BA12/$BB$2&lt;=1.01,BA12/$BB$2,0.6)</f>
        <v>0.95310907237512743</v>
      </c>
      <c r="BC12" s="56" t="s">
        <v>310</v>
      </c>
      <c r="BD12" s="56" t="s">
        <v>321</v>
      </c>
      <c r="BE12" s="62" t="s">
        <v>330</v>
      </c>
      <c r="BF12" s="56" t="s">
        <v>340</v>
      </c>
      <c r="BG12" s="56"/>
      <c r="BH12" s="56">
        <f>AVERAGE(AV12,AX12,AZ12,BB12)*5</f>
        <v>4.8553432229533824</v>
      </c>
      <c r="BI12" s="56">
        <v>4.7</v>
      </c>
      <c r="BJ12" s="56">
        <v>4.0999999999999996</v>
      </c>
      <c r="BK12" s="56">
        <v>4</v>
      </c>
      <c r="BL12" s="56">
        <v>4.5</v>
      </c>
      <c r="BM12" s="56">
        <v>1.2</v>
      </c>
      <c r="BN12" s="56">
        <f>AVERAGE(Table1[[#This Row],[Tarea:Impresión 3D (Semana 13) (Real)]:[Tarea:Evaluación Final Sincrónica (Semana 17) (Real)]])*0.7+Table1[[#This Row],[nota asistencia]]*0.3</f>
        <v>4.0466029668860148</v>
      </c>
      <c r="BO12" s="56">
        <f t="shared" si="0"/>
        <v>4.1475905724308806</v>
      </c>
    </row>
    <row r="13" spans="1:67" x14ac:dyDescent="0.25">
      <c r="A13" s="37">
        <v>11</v>
      </c>
      <c r="B13" s="37" t="s">
        <v>30</v>
      </c>
      <c r="C13" s="37" t="s">
        <v>86</v>
      </c>
      <c r="D13" s="37">
        <v>1110285503</v>
      </c>
      <c r="E13" s="37" t="s">
        <v>31</v>
      </c>
      <c r="F13" s="47">
        <v>1.7314814814814814E-2</v>
      </c>
      <c r="G13" s="52">
        <f>IF(F13/$G$2&lt;=1.001,F13/$G$2,0.6)</f>
        <v>0.9927007299270072</v>
      </c>
      <c r="H13" s="47">
        <v>3.9189814814814816E-2</v>
      </c>
      <c r="I13" s="52">
        <f>IF(H13/$I$2&lt;=1.001,H13/$I$2,0.6)</f>
        <v>0.98516147803316845</v>
      </c>
      <c r="J13" s="47">
        <v>0</v>
      </c>
      <c r="K13" s="52">
        <f>IF(J13/$K$2&lt;=1.001,J13/$K$2,0.6)</f>
        <v>0</v>
      </c>
      <c r="L13" s="47">
        <v>0</v>
      </c>
      <c r="M13" s="52">
        <f>IF(L13/$M$2&lt;=1.001,L13/$M$2,0.6)</f>
        <v>0</v>
      </c>
      <c r="N13" s="46">
        <v>4.327546296296296E-2</v>
      </c>
      <c r="O13" s="52">
        <f>IF(N13/$O$2&lt;=1.001,N13/$O$2,0.6)</f>
        <v>0.92756139915653668</v>
      </c>
      <c r="P13" s="46">
        <v>4.3182870370370371E-2</v>
      </c>
      <c r="Q13" s="52">
        <f>IF(P13/$Q$2&lt;=1.001,P13/$Q$2,0.6)</f>
        <v>0.99946423787838201</v>
      </c>
      <c r="R13" s="53">
        <f>AVERAGE(G13,I13,K13,M13,Table1[[#This Row],[%Conexión5]],Table1[[#This Row],[%Conexión6]])*5</f>
        <v>3.2540732041625784</v>
      </c>
      <c r="S13" s="54">
        <v>4</v>
      </c>
      <c r="T13" s="53" t="str" cm="1">
        <f t="array" ref="T13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"Durazno" en el lenguaje de señas colombiano</v>
      </c>
      <c r="U13" s="55">
        <v>5</v>
      </c>
      <c r="V13" s="55">
        <v>4</v>
      </c>
      <c r="W13" s="55">
        <v>0.6</v>
      </c>
      <c r="X13" s="55">
        <v>5</v>
      </c>
      <c r="Y13" s="55">
        <v>5</v>
      </c>
      <c r="Z13" s="55">
        <v>4.5</v>
      </c>
      <c r="AA13" s="56">
        <f>AVERAGE(Table1[[#This Row],[Operaciones sobre piezas (Semana 2) ]:[Escaneo de partes anatómicas (Semana 6) ]])*0.7+Table1[[#This Row],[Asistencia]]*0.3</f>
        <v>3.6502219612487732</v>
      </c>
      <c r="AB13" s="46">
        <v>3.7256944444444447E-2</v>
      </c>
      <c r="AC13" s="52">
        <f>IF(AB13/$AC$2&lt;=1.01,AB13/$AC$2,0.6)</f>
        <v>0.90523059617547819</v>
      </c>
      <c r="AD13" s="46">
        <v>0</v>
      </c>
      <c r="AE13" s="52">
        <f>IF(AD13/$AE$2&lt;=1.01,AD13/$AE$2,0.6)</f>
        <v>0</v>
      </c>
      <c r="AF13" s="46">
        <v>3.8368055555555558E-2</v>
      </c>
      <c r="AG13" s="52">
        <v>1</v>
      </c>
      <c r="AH13" s="46">
        <v>1.412037037037037E-2</v>
      </c>
      <c r="AI13" s="52">
        <f>IF(AH13/$AI$2&lt;=1.01,AH13/$AI$2,0.6)</f>
        <v>0.95911949685534592</v>
      </c>
      <c r="AJ13" s="46">
        <v>2.2407407407407407E-2</v>
      </c>
      <c r="AK13" s="52">
        <f>IF(AJ13/$AK$2&lt;=1.01,AJ13/$AK$2,0.6)</f>
        <v>0.62371134020618557</v>
      </c>
      <c r="AL13" s="47">
        <v>2.7870370370370368E-2</v>
      </c>
      <c r="AM13" s="52">
        <f>IF(AL13/$AM$2&lt;=1.01,AL13/$AM$2,0.6)</f>
        <v>0.92937089926669236</v>
      </c>
      <c r="AN13" s="53">
        <f>AVERAGE(AC13,AE13,AG13,AI13,AK13,AM13)*5</f>
        <v>3.6811936104197525</v>
      </c>
      <c r="AO13" s="56">
        <v>5</v>
      </c>
      <c r="AP13" s="56">
        <v>3.6</v>
      </c>
      <c r="AQ13" s="56">
        <f>Table1[[#This Row],[Asistencia 2o Corte]]*0.3+AVERAGE(Table1[[#This Row],[Tarea:Introducción a 3DSlicer (Semana 8) (Real)]:[Tarea:Segmentación Manual y Semi-Automática (Semana 10) (Real)]])*0.7</f>
        <v>4.114358083125925</v>
      </c>
      <c r="AR13" s="56"/>
      <c r="AS13" s="56" t="s">
        <v>273</v>
      </c>
      <c r="AT13" s="56" t="s">
        <v>291</v>
      </c>
      <c r="AU13" s="61">
        <v>0</v>
      </c>
      <c r="AV13" s="56">
        <f>IF(AU13/$AV$2&lt;=1.01,AU13/$AV$2,0.6)</f>
        <v>0</v>
      </c>
      <c r="AW13" s="61">
        <v>3.2650462962962964E-2</v>
      </c>
      <c r="AX13" s="56">
        <f>IF(AW13/$AX$2&lt;=1.01,AW13/$AX$2,0.6)</f>
        <v>1</v>
      </c>
      <c r="AY13" s="61">
        <v>2.2511574074074073E-2</v>
      </c>
      <c r="AZ13" s="56">
        <f>IF(AY13/$AZ$2&lt;=1.01,AY13/$AZ$2,0.6)</f>
        <v>0.61922954473097735</v>
      </c>
      <c r="BA13" s="61">
        <v>0</v>
      </c>
      <c r="BB13" s="56">
        <f>IF(BA13/$BB$2&lt;=1.01,BA13/$BB$2,0.6)</f>
        <v>0</v>
      </c>
      <c r="BC13" s="56" t="s">
        <v>311</v>
      </c>
      <c r="BD13" s="56" t="s">
        <v>322</v>
      </c>
      <c r="BE13" s="62" t="s">
        <v>327</v>
      </c>
      <c r="BF13" s="56" t="s">
        <v>338</v>
      </c>
      <c r="BG13" s="56" t="s">
        <v>337</v>
      </c>
      <c r="BH13" s="56">
        <f>AVERAGE(AV13,AX13,AZ13,BB13)*5</f>
        <v>2.0240369309137218</v>
      </c>
      <c r="BI13" s="56">
        <v>5</v>
      </c>
      <c r="BJ13" s="56">
        <v>4.4000000000000004</v>
      </c>
      <c r="BK13" s="56">
        <v>4.8</v>
      </c>
      <c r="BL13" s="56">
        <v>4.8</v>
      </c>
      <c r="BM13" s="56">
        <v>0</v>
      </c>
      <c r="BN13" s="56">
        <f>AVERAGE(Table1[[#This Row],[Tarea:Impresión 3D (Semana 13) (Real)]:[Tarea:Evaluación Final Sincrónica (Semana 17) (Real)]])*0.7+Table1[[#This Row],[nota asistencia]]*0.3</f>
        <v>3.2672110792741162</v>
      </c>
      <c r="BO13" s="56">
        <f t="shared" si="0"/>
        <v>3.677263707882938</v>
      </c>
    </row>
    <row r="14" spans="1:67" x14ac:dyDescent="0.25">
      <c r="A14" s="37">
        <v>12</v>
      </c>
      <c r="B14" s="37" t="s">
        <v>87</v>
      </c>
      <c r="C14" s="37" t="s">
        <v>88</v>
      </c>
      <c r="D14" s="37">
        <v>1107837413</v>
      </c>
      <c r="E14" s="37" t="s">
        <v>55</v>
      </c>
      <c r="F14" s="47">
        <v>0</v>
      </c>
      <c r="G14" s="52">
        <f>IF(F14/$G$2&lt;=1.001,F14/$G$2,0.6)</f>
        <v>0</v>
      </c>
      <c r="H14" s="47">
        <v>3.7743055555555557E-2</v>
      </c>
      <c r="I14" s="52">
        <f>IF(H14/$I$2&lt;=1.001,H14/$I$2,0.6)</f>
        <v>0.94879255164387544</v>
      </c>
      <c r="J14" s="47">
        <v>3.5925925925925924E-2</v>
      </c>
      <c r="K14" s="52">
        <f>IF(J14/$K$2&lt;=1.001,J14/$K$2,0.6)</f>
        <v>0.99935608499678041</v>
      </c>
      <c r="L14" s="47">
        <v>2.0636574074074075E-2</v>
      </c>
      <c r="M14" s="52">
        <f>IF(L14/$M$2&lt;=1.001,L14/$M$2,0.6)</f>
        <v>0.90784114052953158</v>
      </c>
      <c r="N14" s="46">
        <v>0</v>
      </c>
      <c r="O14" s="52">
        <f>IF(N14/$O$2&lt;=1.001,N14/$O$2,0.6)</f>
        <v>0</v>
      </c>
      <c r="P14" s="46">
        <v>3.9016203703703706E-2</v>
      </c>
      <c r="Q14" s="52">
        <f>IF(P14/$Q$2&lt;=1.001,P14/$Q$2,0.6)</f>
        <v>0.90302705598714172</v>
      </c>
      <c r="R14" s="53">
        <f>AVERAGE(G14,I14,K14,M14,Table1[[#This Row],[%Conexión5]],Table1[[#This Row],[%Conexión6]])*5</f>
        <v>3.1325140276311076</v>
      </c>
      <c r="S14" s="54">
        <v>2</v>
      </c>
      <c r="T14" s="53" t="str" cm="1">
        <f t="array" ref="T14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"Ratón" en el lenguaje de señas colombiano</v>
      </c>
      <c r="U14" s="55">
        <v>0</v>
      </c>
      <c r="V14" s="55">
        <v>3.9</v>
      </c>
      <c r="W14" s="55">
        <v>5</v>
      </c>
      <c r="X14" s="55">
        <v>3.3</v>
      </c>
      <c r="Y14" s="55">
        <v>5</v>
      </c>
      <c r="Z14" s="55">
        <v>4.5</v>
      </c>
      <c r="AA14" s="56">
        <f>AVERAGE(Table1[[#This Row],[Operaciones sobre piezas (Semana 2) ]:[Escaneo de partes anatómicas (Semana 6) ]])*0.7+Table1[[#This Row],[Asistencia]]*0.3</f>
        <v>3.977754208289332</v>
      </c>
      <c r="AB14" s="46">
        <v>3.8090277777777778E-2</v>
      </c>
      <c r="AC14" s="52">
        <f>IF(AB14/$AC$2&lt;=1.01,AB14/$AC$2,0.6)</f>
        <v>0.92547806524184484</v>
      </c>
      <c r="AD14" s="46">
        <v>3.7384259259259256E-2</v>
      </c>
      <c r="AE14" s="52">
        <f>IF(AD14/$AE$2&lt;=1.01,AD14/$AE$2,0.6)</f>
        <v>0.99599136601911809</v>
      </c>
      <c r="AF14" s="46">
        <v>2.8125000000000001E-2</v>
      </c>
      <c r="AG14" s="52">
        <f>IF(AF14/$AG$2&lt;=1.01,AF14/$AG$2,0.6)</f>
        <v>0.74930619796484743</v>
      </c>
      <c r="AH14" s="46">
        <v>1.4722222222222222E-2</v>
      </c>
      <c r="AI14" s="52">
        <f>IF(AH14/$AI$2&lt;=1.01,AH14/$AI$2,0.6)</f>
        <v>1</v>
      </c>
      <c r="AJ14" s="46">
        <v>0</v>
      </c>
      <c r="AK14" s="52">
        <f>IF(AJ14/$AK$2&lt;=1.01,AJ14/$AK$2,0.6)</f>
        <v>0</v>
      </c>
      <c r="AL14" s="47">
        <v>2.9942129629629628E-2</v>
      </c>
      <c r="AM14" s="52">
        <f>IF(AL14/$AM$2&lt;=1.01,AL14/$AM$2,0.6)</f>
        <v>0.99845619451949053</v>
      </c>
      <c r="AN14" s="53">
        <f>AVERAGE(AC14,AE14,AG14,AI14,AK14,AM14)*5</f>
        <v>3.8910265197877507</v>
      </c>
      <c r="AO14" s="56">
        <v>5</v>
      </c>
      <c r="AP14" s="56">
        <v>0</v>
      </c>
      <c r="AQ14" s="56">
        <f>Table1[[#This Row],[Asistencia 2o Corte]]*0.3+AVERAGE(Table1[[#This Row],[Tarea:Introducción a 3DSlicer (Semana 8) (Real)]:[Tarea:Segmentación Manual y Semi-Automática (Semana 10) (Real)]])*0.7</f>
        <v>2.9173079559363249</v>
      </c>
      <c r="AR14" s="56"/>
      <c r="AS14" s="56"/>
      <c r="AT14" s="56"/>
      <c r="AU14" s="61">
        <v>2.9537037037037039E-2</v>
      </c>
      <c r="AV14" s="56">
        <f>IF(AU14/$AV$2&lt;=1.01,AU14/$AV$2,0.6)</f>
        <v>0.79551122194513724</v>
      </c>
      <c r="AW14" s="61">
        <v>3.2650462962962964E-2</v>
      </c>
      <c r="AX14" s="56">
        <f>IF(AW14/$AX$2&lt;=1.01,AW14/$AX$2,0.6)</f>
        <v>1</v>
      </c>
      <c r="AY14" s="61">
        <v>1.5347222222222222E-2</v>
      </c>
      <c r="AZ14" s="56">
        <f>IF(AY14/$AZ$2&lt;=1.01,AY14/$AZ$2,0.6)</f>
        <v>0.42215854823304683</v>
      </c>
      <c r="BA14" s="61">
        <v>0</v>
      </c>
      <c r="BB14" s="56">
        <f>IF(BA14/$BB$2&lt;=1.01,BA14/$BB$2,0.6)</f>
        <v>0</v>
      </c>
      <c r="BC14" s="56"/>
      <c r="BD14" s="56"/>
      <c r="BE14" s="56"/>
      <c r="BF14" s="56" t="s">
        <v>343</v>
      </c>
      <c r="BG14" s="56" t="s">
        <v>337</v>
      </c>
      <c r="BH14" s="56">
        <f>AVERAGE(AV14,AX14,AZ14,BB14)*5</f>
        <v>2.7720872127227301</v>
      </c>
      <c r="BI14" s="56">
        <v>4.7</v>
      </c>
      <c r="BJ14" s="56">
        <v>4.7</v>
      </c>
      <c r="BK14" s="56">
        <v>4.5</v>
      </c>
      <c r="BL14" s="56">
        <v>4.8</v>
      </c>
      <c r="BM14" s="56">
        <v>3.6</v>
      </c>
      <c r="BN14" s="56">
        <f>AVERAGE(Table1[[#This Row],[Tarea:Impresión 3D (Semana 13) (Real)]:[Tarea:Evaluación Final Sincrónica (Semana 17) (Real)]])*0.7+Table1[[#This Row],[nota asistencia]]*0.3</f>
        <v>3.9536261638168186</v>
      </c>
      <c r="BO14" s="56">
        <f t="shared" si="0"/>
        <v>3.6162294426808246</v>
      </c>
    </row>
    <row r="15" spans="1:67" x14ac:dyDescent="0.25">
      <c r="A15" s="37">
        <v>13</v>
      </c>
      <c r="B15" s="37" t="s">
        <v>52</v>
      </c>
      <c r="C15" s="37" t="s">
        <v>89</v>
      </c>
      <c r="D15" s="37">
        <v>1004217163</v>
      </c>
      <c r="E15" s="37" t="s">
        <v>53</v>
      </c>
      <c r="F15" s="47">
        <v>4.1458333333333333E-2</v>
      </c>
      <c r="G15" s="52">
        <f>IF(F15/$G$2&lt;=1.001,F15/$G$2,0.6)</f>
        <v>0.6</v>
      </c>
      <c r="H15" s="47">
        <v>3.9814814814814817E-2</v>
      </c>
      <c r="I15" s="52">
        <f>IF(H15/$I$2&lt;=1.001,H15/$I$2,0.6)</f>
        <v>1.0008728542333429</v>
      </c>
      <c r="J15" s="47">
        <v>3.5960648148148151E-2</v>
      </c>
      <c r="K15" s="52">
        <f>IF(J15/$K$2&lt;=1.001,J15/$K$2,0.6)</f>
        <v>1.00032195750161</v>
      </c>
      <c r="L15" s="47">
        <v>2.0798611111111111E-2</v>
      </c>
      <c r="M15" s="52">
        <f>IF(L15/$M$2&lt;=1.001,L15/$M$2,0.6)</f>
        <v>0.91496945010183306</v>
      </c>
      <c r="N15" s="46">
        <v>4.2013888888888892E-2</v>
      </c>
      <c r="O15" s="52">
        <f>IF(N15/$O$2&lt;=1.001,N15/$O$2,0.6)</f>
        <v>0.90052096254031255</v>
      </c>
      <c r="P15" s="46">
        <v>3.8773148148148147E-2</v>
      </c>
      <c r="Q15" s="52">
        <f>IF(P15/$Q$2&lt;=1.001,P15/$Q$2,0.6)</f>
        <v>0.89740155371015262</v>
      </c>
      <c r="R15" s="53">
        <f>AVERAGE(G15,I15,K15,M15,Table1[[#This Row],[%Conexión5]],Table1[[#This Row],[%Conexión6]])*5</f>
        <v>4.4284056484060423</v>
      </c>
      <c r="S15" s="54">
        <v>4</v>
      </c>
      <c r="T15" s="53" t="str" cm="1">
        <f t="array" ref="T15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"Durazno" en el lenguaje de señas colombiano</v>
      </c>
      <c r="U15" s="55">
        <v>5</v>
      </c>
      <c r="V15" s="55">
        <v>5</v>
      </c>
      <c r="W15" s="55">
        <v>5</v>
      </c>
      <c r="X15" s="55">
        <v>5</v>
      </c>
      <c r="Y15" s="55">
        <v>4.3</v>
      </c>
      <c r="Z15" s="55">
        <v>4.5</v>
      </c>
      <c r="AA15" s="56">
        <f>AVERAGE(Table1[[#This Row],[Operaciones sobre piezas (Semana 2) ]:[Escaneo de partes anatómicas (Semana 6) ]])*0.7+Table1[[#This Row],[Asistencia]]*0.3</f>
        <v>4.6605216945218126</v>
      </c>
      <c r="AB15" s="46">
        <v>4.1076388888888891E-2</v>
      </c>
      <c r="AC15" s="52">
        <f>IF(AB15/$AC$2&lt;=1.01,AB15/$AC$2,0.6)</f>
        <v>0.99803149606299224</v>
      </c>
      <c r="AD15" s="46">
        <v>3.5995370370370372E-2</v>
      </c>
      <c r="AE15" s="52">
        <f>IF(AD15/$AE$2&lt;=1.01,AD15/$AE$2,0.6)</f>
        <v>0.95898859081097765</v>
      </c>
      <c r="AF15" s="46">
        <v>2.7118055555555555E-2</v>
      </c>
      <c r="AG15" s="52">
        <f>IF(AF15/$AG$2&lt;=1.01,AF15/$AG$2,0.6)</f>
        <v>0.72247918593894545</v>
      </c>
      <c r="AH15" s="46">
        <v>1.4722222222222222E-2</v>
      </c>
      <c r="AI15" s="52">
        <f>IF(AH15/$AI$2&lt;=1.01,AH15/$AI$2,0.6)</f>
        <v>1</v>
      </c>
      <c r="AJ15" s="46">
        <v>3.4756944444444444E-2</v>
      </c>
      <c r="AK15" s="52">
        <f>IF(AJ15/$AK$2&lt;=1.01,AJ15/$AK$2,0.6)</f>
        <v>0.96746134020618568</v>
      </c>
      <c r="AL15" s="47">
        <v>1.0393518518518519E-2</v>
      </c>
      <c r="AM15" s="52">
        <f>IF(AL15/$AM$2&lt;=1.01,AL15/$AM$2,0.6)</f>
        <v>0.34658433037437286</v>
      </c>
      <c r="AN15" s="53">
        <f>AVERAGE(AC15,AE15,AG15,AI15,AK15,AM15)*5</f>
        <v>4.1612874528278958</v>
      </c>
      <c r="AO15" s="56">
        <v>5</v>
      </c>
      <c r="AP15" s="56">
        <v>3.6</v>
      </c>
      <c r="AQ15" s="56">
        <f>Table1[[#This Row],[Asistencia 2o Corte]]*0.3+AVERAGE(Table1[[#This Row],[Tarea:Introducción a 3DSlicer (Semana 8) (Real)]:[Tarea:Segmentación Manual y Semi-Automática (Semana 10) (Real)]])*0.7</f>
        <v>4.2583862358483682</v>
      </c>
      <c r="AR15" s="56"/>
      <c r="AS15" s="56"/>
      <c r="AT15" s="56"/>
      <c r="AU15" s="61">
        <v>3.712962962962963E-2</v>
      </c>
      <c r="AV15" s="56">
        <f>IF(AU15/$AV$2&lt;=1.01,AU15/$AV$2,0.6)</f>
        <v>1</v>
      </c>
      <c r="AW15" s="61">
        <v>3.2650462962962964E-2</v>
      </c>
      <c r="AX15" s="56">
        <f>IF(AW15/$AX$2&lt;=1.01,AW15/$AX$2,0.6)</f>
        <v>1</v>
      </c>
      <c r="AY15" s="61">
        <v>3.6249999999999998E-2</v>
      </c>
      <c r="AZ15" s="56">
        <f>IF(AY15/$AZ$2&lt;=1.01,AY15/$AZ$2,0.6)</f>
        <v>0.99713467048710591</v>
      </c>
      <c r="BA15" s="61">
        <v>0</v>
      </c>
      <c r="BB15" s="56">
        <f>IF(BA15/$BB$2&lt;=1.01,BA15/$BB$2,0.6)</f>
        <v>0</v>
      </c>
      <c r="BC15" s="56"/>
      <c r="BD15" s="56"/>
      <c r="BE15" s="56"/>
      <c r="BF15" s="56" t="s">
        <v>342</v>
      </c>
      <c r="BG15" s="56"/>
      <c r="BH15" s="56">
        <f>AVERAGE(AV15,AX15,AZ15,BB15)*5</f>
        <v>3.7464183381088825</v>
      </c>
      <c r="BI15" s="56">
        <v>5</v>
      </c>
      <c r="BJ15" s="56">
        <v>4.4000000000000004</v>
      </c>
      <c r="BK15" s="56">
        <v>4.8</v>
      </c>
      <c r="BL15" s="56">
        <v>4.8</v>
      </c>
      <c r="BM15" s="56">
        <v>1.8</v>
      </c>
      <c r="BN15" s="56">
        <f>AVERAGE(Table1[[#This Row],[Tarea:Impresión 3D (Semana 13) (Real)]:[Tarea:Evaluación Final Sincrónica (Semana 17) (Real)]])*0.7+Table1[[#This Row],[nota asistencia]]*0.3</f>
        <v>4.0359255014326649</v>
      </c>
      <c r="BO15" s="56">
        <f t="shared" si="0"/>
        <v>4.3182778106009492</v>
      </c>
    </row>
    <row r="16" spans="1:67" x14ac:dyDescent="0.25">
      <c r="A16" s="37">
        <v>14</v>
      </c>
      <c r="B16" s="37" t="s">
        <v>46</v>
      </c>
      <c r="C16" s="37" t="s">
        <v>80</v>
      </c>
      <c r="D16" s="37">
        <v>1105366146</v>
      </c>
      <c r="E16" s="37" t="s">
        <v>47</v>
      </c>
      <c r="F16" s="47">
        <v>3.8437499999999999E-2</v>
      </c>
      <c r="G16" s="52">
        <f>IF(F16/$G$2&lt;=1.001,F16/$G$2,0.6)</f>
        <v>0.6</v>
      </c>
      <c r="H16" s="47">
        <v>0</v>
      </c>
      <c r="I16" s="52">
        <f>IF(H16/$I$2&lt;=1.001,H16/$I$2,0.6)</f>
        <v>0</v>
      </c>
      <c r="J16" s="47">
        <v>1.3148148148148148E-2</v>
      </c>
      <c r="K16" s="52">
        <f>IF(J16/$K$2&lt;=1.001,J16/$K$2,0.6)</f>
        <v>0.36574372182871867</v>
      </c>
      <c r="L16" s="47">
        <v>7.6620370370370366E-3</v>
      </c>
      <c r="M16" s="52">
        <f>IF(L16/$M$2&lt;=1.001,L16/$M$2,0.6)</f>
        <v>0.33706720977596738</v>
      </c>
      <c r="N16" s="46">
        <v>4.6215277777777779E-2</v>
      </c>
      <c r="O16" s="52">
        <f>IF(N16/$O$2&lt;=1.001,N16/$O$2,0.6)</f>
        <v>0.99057305879434376</v>
      </c>
      <c r="P16" s="46">
        <v>4.3206018518518519E-2</v>
      </c>
      <c r="Q16" s="52">
        <f>IF(P16/$Q$2&lt;=1.001,P16/$Q$2,0.6)</f>
        <v>1</v>
      </c>
      <c r="R16" s="53">
        <f>AVERAGE(G16,I16,K16,M16,Table1[[#This Row],[%Conexión5]],Table1[[#This Row],[%Conexión6]])*5</f>
        <v>2.7444866586658585</v>
      </c>
      <c r="S16" s="54">
        <v>5</v>
      </c>
      <c r="T16" s="53" t="str" cm="1">
        <f t="array" ref="T16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"Caracol" en el lenguaje de señas colombiano</v>
      </c>
      <c r="U16" s="55">
        <v>4.5</v>
      </c>
      <c r="V16" s="55">
        <v>4</v>
      </c>
      <c r="W16" s="55">
        <v>5</v>
      </c>
      <c r="X16" s="55">
        <v>3.3</v>
      </c>
      <c r="Y16" s="55">
        <v>5</v>
      </c>
      <c r="Z16" s="55">
        <v>4.5</v>
      </c>
      <c r="AA16" s="56">
        <f>AVERAGE(Table1[[#This Row],[Operaciones sobre piezas (Semana 2) ]:[Escaneo de partes anatómicas (Semana 6) ]])*0.7+Table1[[#This Row],[Asistencia]]*0.3</f>
        <v>3.8753459975997577</v>
      </c>
      <c r="AB16" s="46">
        <v>3.3819444444444444E-2</v>
      </c>
      <c r="AC16" s="52">
        <f>IF(AB16/$AC$2&lt;=1.01,AB16/$AC$2,0.6)</f>
        <v>0.82170978627671543</v>
      </c>
      <c r="AD16" s="46">
        <v>3.7384259259259256E-2</v>
      </c>
      <c r="AE16" s="52">
        <f>IF(AD16/$AE$2&lt;=1.01,AD16/$AE$2,0.6)</f>
        <v>0.99599136601911809</v>
      </c>
      <c r="AF16" s="46">
        <v>3.8368055555555558E-2</v>
      </c>
      <c r="AG16" s="52">
        <f>IF(AF16/$AG$2&lt;=1.01,AF16/$AG$2,0.6)</f>
        <v>0.6</v>
      </c>
      <c r="AH16" s="46">
        <v>1.4722222222222222E-2</v>
      </c>
      <c r="AI16" s="52">
        <f>IF(AH16/$AI$2&lt;=1.01,AH16/$AI$2,0.6)</f>
        <v>1</v>
      </c>
      <c r="AJ16" s="46">
        <v>9.479166666666667E-3</v>
      </c>
      <c r="AK16" s="52">
        <f>IF(AJ16/$AK$2&lt;=1.01,AJ16/$AK$2,0.6)</f>
        <v>0.26385309278350516</v>
      </c>
      <c r="AL16" s="47">
        <v>1.1168981481481481E-2</v>
      </c>
      <c r="AM16" s="52">
        <f>IF(AL16/$AM$2&lt;=1.01,AL16/$AM$2,0.6)</f>
        <v>0.37244307217290623</v>
      </c>
      <c r="AN16" s="53">
        <f>AVERAGE(AC16,AE16,AG16,AI16,AK16,AM16)*5</f>
        <v>3.3783310977102037</v>
      </c>
      <c r="AO16" s="56">
        <v>5</v>
      </c>
      <c r="AP16" s="56">
        <v>3.2</v>
      </c>
      <c r="AQ16" s="56">
        <f>Table1[[#This Row],[Asistencia 2o Corte]]*0.3+AVERAGE(Table1[[#This Row],[Tarea:Introducción a 3DSlicer (Semana 8) (Real)]:[Tarea:Segmentación Manual y Semi-Automática (Semana 10) (Real)]])*0.7</f>
        <v>3.8834993293130609</v>
      </c>
      <c r="AR16" s="56"/>
      <c r="AS16" s="56"/>
      <c r="AT16" s="56" t="s">
        <v>294</v>
      </c>
      <c r="AU16" s="61">
        <v>3.7048611111111109E-2</v>
      </c>
      <c r="AV16" s="56">
        <f>IF(AU16/$AV$2&lt;=1.01,AU16/$AV$2,0.6)</f>
        <v>0.99781795511221938</v>
      </c>
      <c r="AW16" s="61">
        <v>0</v>
      </c>
      <c r="AX16" s="56">
        <f>IF(AW16/$AX$2&lt;=1.01,AW16/$AX$2,0.6)</f>
        <v>0</v>
      </c>
      <c r="AY16" s="61">
        <v>3.4907407407407408E-2</v>
      </c>
      <c r="AZ16" s="56">
        <f>IF(AY16/$AZ$2&lt;=1.01,AY16/$AZ$2,0.6)</f>
        <v>0.9602037567653614</v>
      </c>
      <c r="BA16" s="61">
        <v>3.1944444444444442E-2</v>
      </c>
      <c r="BB16" s="56">
        <f>IF(BA16/$BB$2&lt;=1.01,BA16/$BB$2,0.6)</f>
        <v>0.93781855249745139</v>
      </c>
      <c r="BC16" s="56"/>
      <c r="BD16" s="56"/>
      <c r="BE16" s="56"/>
      <c r="BF16" s="56" t="s">
        <v>342</v>
      </c>
      <c r="BG16" s="56"/>
      <c r="BH16" s="56">
        <f>AVERAGE(AV16,AX16,AZ16,BB16)*5</f>
        <v>3.6198003304687902</v>
      </c>
      <c r="BI16" s="56">
        <v>4.4000000000000004</v>
      </c>
      <c r="BJ16" s="56">
        <v>3.5</v>
      </c>
      <c r="BK16" s="56">
        <v>4.3</v>
      </c>
      <c r="BL16" s="56">
        <v>3.8</v>
      </c>
      <c r="BM16" s="56">
        <v>3.2</v>
      </c>
      <c r="BN16" s="56">
        <f>AVERAGE(Table1[[#This Row],[Tarea:Impresión 3D (Semana 13) (Real)]:[Tarea:Evaluación Final Sincrónica (Semana 17) (Real)]])*0.7+Table1[[#This Row],[nota asistencia]]*0.3</f>
        <v>3.7739400991406367</v>
      </c>
      <c r="BO16" s="56">
        <f t="shared" si="0"/>
        <v>3.8442618086844846</v>
      </c>
    </row>
    <row r="17" spans="1:67" x14ac:dyDescent="0.25">
      <c r="A17" s="37">
        <v>15</v>
      </c>
      <c r="B17" s="37" t="s">
        <v>20</v>
      </c>
      <c r="C17" s="37" t="s">
        <v>90</v>
      </c>
      <c r="D17" s="37">
        <v>1000940688</v>
      </c>
      <c r="E17" s="37" t="s">
        <v>21</v>
      </c>
      <c r="F17" s="47">
        <v>1.7361111111111112E-2</v>
      </c>
      <c r="G17" s="52">
        <f>IF(F17/$G$2&lt;=1.001,F17/$G$2,0.6)</f>
        <v>0.99535500995355009</v>
      </c>
      <c r="H17" s="47">
        <v>3.9259259259259258E-2</v>
      </c>
      <c r="I17" s="52">
        <f>IF(H17/$I$2&lt;=1.001,H17/$I$2,0.6)</f>
        <v>0.98690718649985443</v>
      </c>
      <c r="J17" s="47">
        <v>3.5949074074074071E-2</v>
      </c>
      <c r="K17" s="52">
        <f>IF(J17/$K$2&lt;=1.001,J17/$K$2,0.6)</f>
        <v>1</v>
      </c>
      <c r="L17" s="47">
        <v>2.2638888888888889E-2</v>
      </c>
      <c r="M17" s="52">
        <f>IF(L17/$M$2&lt;=1.001,L17/$M$2,0.6)</f>
        <v>0.99592668024439923</v>
      </c>
      <c r="N17" s="46">
        <v>4.4965277777777778E-2</v>
      </c>
      <c r="O17" s="52">
        <f>IF(N17/$O$2&lt;=1.001,N17/$O$2,0.6)</f>
        <v>0.9637806995782684</v>
      </c>
      <c r="P17" s="46">
        <v>4.1863425925925929E-2</v>
      </c>
      <c r="Q17" s="52">
        <f>IF(P17/$Q$2&lt;=1.001,P17/$Q$2,0.6)</f>
        <v>0.96892579694615599</v>
      </c>
      <c r="R17" s="53">
        <f>AVERAGE(G17,I17,K17,M17,Table1[[#This Row],[%Conexión5]],Table1[[#This Row],[%Conexión6]])*5</f>
        <v>4.9257461443518569</v>
      </c>
      <c r="S17" s="54">
        <v>2</v>
      </c>
      <c r="T17" s="53" t="str" cm="1">
        <f t="array" ref="T17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"Ratón" en el lenguaje de señas colombiano</v>
      </c>
      <c r="U17" s="55">
        <v>5</v>
      </c>
      <c r="V17" s="55">
        <v>4.9000000000000004</v>
      </c>
      <c r="W17" s="55">
        <v>5</v>
      </c>
      <c r="X17" s="55">
        <v>5</v>
      </c>
      <c r="Y17" s="55">
        <v>4.3</v>
      </c>
      <c r="Z17" s="55">
        <v>4.5</v>
      </c>
      <c r="AA17" s="56">
        <f>AVERAGE(Table1[[#This Row],[Operaciones sobre piezas (Semana 2) ]:[Escaneo de partes anatómicas (Semana 6) ]])*0.7+Table1[[#This Row],[Asistencia]]*0.3</f>
        <v>4.7957238433055576</v>
      </c>
      <c r="AB17" s="46">
        <v>3.8182870370370367E-2</v>
      </c>
      <c r="AC17" s="52">
        <f>IF(AB17/$AC$2&lt;=1.01,AB17/$AC$2,0.6)</f>
        <v>0.92772778402699652</v>
      </c>
      <c r="AD17" s="46">
        <v>3.7303240740740741E-2</v>
      </c>
      <c r="AE17" s="52">
        <f>IF(AD17/$AE$2&lt;=1.01,AD17/$AE$2,0.6)</f>
        <v>0.99383287079864335</v>
      </c>
      <c r="AF17" s="46">
        <v>3.215277777777778E-2</v>
      </c>
      <c r="AG17" s="52">
        <f>IF(AF17/$AG$2&lt;=1.01,AF17/$AG$2,0.6)</f>
        <v>0.85661424606845527</v>
      </c>
      <c r="AH17" s="46">
        <v>1.4722222222222222E-2</v>
      </c>
      <c r="AI17" s="52">
        <f>IF(AH17/$AI$2&lt;=1.01,AH17/$AI$2,0.6)</f>
        <v>1</v>
      </c>
      <c r="AJ17" s="46">
        <v>3.5821759259259262E-2</v>
      </c>
      <c r="AK17" s="52">
        <f>IF(AJ17/$AK$2&lt;=1.01,AJ17/$AK$2,0.6)</f>
        <v>0.99710051546391765</v>
      </c>
      <c r="AL17" s="47">
        <v>1.0462962962962962E-2</v>
      </c>
      <c r="AM17" s="52">
        <f>IF(AL17/$AM$2&lt;=1.01,AL17/$AM$2,0.6)</f>
        <v>0.34890003859513702</v>
      </c>
      <c r="AN17" s="53">
        <f>AVERAGE(AC17,AE17,AG17,AI17,AK17,AM17)*5</f>
        <v>4.2701462124609586</v>
      </c>
      <c r="AO17" s="56">
        <v>5</v>
      </c>
      <c r="AP17" s="56">
        <v>4.5</v>
      </c>
      <c r="AQ17" s="56">
        <f>Table1[[#This Row],[Asistencia 2o Corte]]*0.3+AVERAGE(Table1[[#This Row],[Tarea:Introducción a 3DSlicer (Semana 8) (Real)]:[Tarea:Segmentación Manual y Semi-Automática (Semana 10) (Real)]])*0.7</f>
        <v>4.6060438637382877</v>
      </c>
      <c r="AR17" s="56"/>
      <c r="AS17" s="56"/>
      <c r="AT17" s="62" t="s">
        <v>288</v>
      </c>
      <c r="AU17" s="61">
        <v>3.2719907407407406E-2</v>
      </c>
      <c r="AV17" s="62">
        <f>IF(AU17/$AV$2&lt;=1.01,AU17/$AV$2,0.6)</f>
        <v>0.88123441396508717</v>
      </c>
      <c r="AW17" s="61">
        <v>3.2650462962962964E-2</v>
      </c>
      <c r="AX17" s="62">
        <f>IF(AW17/$AX$2&lt;=1.01,AW17/$AX$2,0.6)</f>
        <v>1</v>
      </c>
      <c r="AY17" s="61">
        <v>3.5069444444444445E-2</v>
      </c>
      <c r="AZ17" s="62">
        <f>IF(AY17/$AZ$2&lt;=1.01,AY17/$AZ$2,0.6)</f>
        <v>0.96466093600764091</v>
      </c>
      <c r="BA17" s="61">
        <v>3.3402777777777781E-2</v>
      </c>
      <c r="BB17" s="62">
        <f>IF(BA17/$BB$2&lt;=1.01,BA17/$BB$2,0.6)</f>
        <v>0.980632008154944</v>
      </c>
      <c r="BC17" s="62"/>
      <c r="BD17" s="62" t="s">
        <v>316</v>
      </c>
      <c r="BE17" s="56"/>
      <c r="BF17" s="62" t="s">
        <v>342</v>
      </c>
      <c r="BG17" s="56"/>
      <c r="BH17" s="56">
        <f>AVERAGE(AV17,AX17,AZ17,BB17)*5</f>
        <v>4.7831591976595895</v>
      </c>
      <c r="BI17" s="56">
        <v>4.7</v>
      </c>
      <c r="BJ17" s="56">
        <v>4.7</v>
      </c>
      <c r="BK17" s="56">
        <v>4.5</v>
      </c>
      <c r="BL17" s="56">
        <v>4.8</v>
      </c>
      <c r="BM17" s="56">
        <v>3.6</v>
      </c>
      <c r="BN17" s="56">
        <f>AVERAGE(Table1[[#This Row],[Tarea:Impresión 3D (Semana 13) (Real)]:[Tarea:Evaluación Final Sincrónica (Semana 17) (Real)]])*0.7+Table1[[#This Row],[nota asistencia]]*0.3</f>
        <v>4.5569477592978771</v>
      </c>
      <c r="BO17" s="56">
        <f t="shared" si="0"/>
        <v>4.6529051554472405</v>
      </c>
    </row>
    <row r="18" spans="1:67" x14ac:dyDescent="0.25">
      <c r="A18" s="37">
        <v>16</v>
      </c>
      <c r="B18" s="37" t="s">
        <v>32</v>
      </c>
      <c r="C18" s="37" t="s">
        <v>91</v>
      </c>
      <c r="D18" s="37">
        <v>1112388246</v>
      </c>
      <c r="E18" s="37" t="s">
        <v>33</v>
      </c>
      <c r="F18" s="47">
        <v>1.744212962962963E-2</v>
      </c>
      <c r="G18" s="52">
        <f>IF(F18/$G$2&lt;=1.001,F18/$G$2,0.6)</f>
        <v>1</v>
      </c>
      <c r="H18" s="47">
        <v>3.8506944444444448E-2</v>
      </c>
      <c r="I18" s="52">
        <f>IF(H18/$I$2&lt;=1.001,H18/$I$2,0.6)</f>
        <v>0.96799534477742222</v>
      </c>
      <c r="J18" s="47">
        <v>1.0486111111111111E-2</v>
      </c>
      <c r="K18" s="52">
        <f>IF(J18/$K$2&lt;=1.001,J18/$K$2,0.6)</f>
        <v>0.29169349645846748</v>
      </c>
      <c r="L18" s="47">
        <v>2.2592592592592591E-2</v>
      </c>
      <c r="M18" s="52">
        <f>IF(L18/$M$2&lt;=1.001,L18/$M$2,0.6)</f>
        <v>0.99389002036659879</v>
      </c>
      <c r="N18" s="46">
        <v>3.7476851851851851E-2</v>
      </c>
      <c r="O18" s="52">
        <f>IF(N18/$O$2&lt;=1.001,N18/$O$2,0.6)</f>
        <v>0.80327462168196473</v>
      </c>
      <c r="P18" s="46">
        <v>3.8391203703703705E-2</v>
      </c>
      <c r="Q18" s="52">
        <f>IF(P18/$Q$2&lt;=1.001,P18/$Q$2,0.6)</f>
        <v>0.8885614787034557</v>
      </c>
      <c r="R18" s="53">
        <f>AVERAGE(G18,I18,K18,M18,Table1[[#This Row],[%Conexión5]],Table1[[#This Row],[%Conexión6]])*5</f>
        <v>4.1211791349899247</v>
      </c>
      <c r="S18" s="54">
        <v>2</v>
      </c>
      <c r="T18" s="53" t="str" cm="1">
        <f t="array" ref="T18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"Ratón" en el lenguaje de señas colombiano</v>
      </c>
      <c r="U18" s="55">
        <v>4.8</v>
      </c>
      <c r="V18" s="55">
        <v>3.3</v>
      </c>
      <c r="W18" s="55">
        <v>5</v>
      </c>
      <c r="X18" s="55">
        <v>5</v>
      </c>
      <c r="Y18" s="55">
        <v>5</v>
      </c>
      <c r="Z18" s="55">
        <v>4.5</v>
      </c>
      <c r="AA18" s="56">
        <f>AVERAGE(Table1[[#This Row],[Operaciones sobre piezas (Semana 2) ]:[Escaneo de partes anatómicas (Semana 6) ]])*0.7+Table1[[#This Row],[Asistencia]]*0.3</f>
        <v>4.4283537404969771</v>
      </c>
      <c r="AB18" s="46">
        <v>3.2685185185185185E-2</v>
      </c>
      <c r="AC18" s="52">
        <f>IF(AB18/$AC$2&lt;=1.01,AB18/$AC$2,0.6)</f>
        <v>0.79415073115860524</v>
      </c>
      <c r="AD18" s="46">
        <v>2.2129629629629631E-2</v>
      </c>
      <c r="AE18" s="52">
        <f>IF(AD18/$AE$2&lt;=1.01,AD18/$AE$2,0.6)</f>
        <v>0.58957755164970715</v>
      </c>
      <c r="AF18" s="46">
        <v>1.8831018518518518E-2</v>
      </c>
      <c r="AG18" s="52">
        <f>IF(AF18/$AG$2&lt;=1.01,AF18/$AG$2,0.6)</f>
        <v>0.50169596053037313</v>
      </c>
      <c r="AH18" s="46">
        <v>1.4722222222222222E-2</v>
      </c>
      <c r="AI18" s="52">
        <f>IF(AH18/$AI$2&lt;=1.01,AH18/$AI$2,0.6)</f>
        <v>1</v>
      </c>
      <c r="AJ18" s="46">
        <v>3.3402777777777781E-2</v>
      </c>
      <c r="AK18" s="52">
        <f>IF(AJ18/$AK$2&lt;=1.01,AJ18/$AK$2,0.6)</f>
        <v>0.92976804123711354</v>
      </c>
      <c r="AL18" s="47">
        <v>1.380787037037037E-2</v>
      </c>
      <c r="AM18" s="52">
        <f>IF(AL18/$AM$2&lt;=1.01,AL18/$AM$2,0.6)</f>
        <v>0.46043998456194518</v>
      </c>
      <c r="AN18" s="53">
        <f>AVERAGE(AC18,AE18,AG18,AI18,AK18,AM18)*5</f>
        <v>3.56302689094812</v>
      </c>
      <c r="AO18" s="56">
        <v>4.2</v>
      </c>
      <c r="AP18" s="56">
        <v>3.6</v>
      </c>
      <c r="AQ18" s="56">
        <f>Table1[[#This Row],[Asistencia 2o Corte]]*0.3+AVERAGE(Table1[[#This Row],[Tarea:Introducción a 3DSlicer (Semana 8) (Real)]:[Tarea:Segmentación Manual y Semi-Automática (Semana 10) (Real)]])*0.7</f>
        <v>3.7989080672844358</v>
      </c>
      <c r="AR18" s="56"/>
      <c r="AS18" s="56" t="s">
        <v>272</v>
      </c>
      <c r="AT18" s="56" t="s">
        <v>296</v>
      </c>
      <c r="AU18" s="61">
        <v>2.2650462962962963E-2</v>
      </c>
      <c r="AV18" s="56">
        <f>IF(AU18/$AV$2&lt;=1.01,AU18/$AV$2,0.6)</f>
        <v>0.61003740648379046</v>
      </c>
      <c r="AW18" s="61">
        <v>3.1238425925925926E-2</v>
      </c>
      <c r="AX18" s="56">
        <f>IF(AW18/$AX$2&lt;=1.01,AW18/$AX$2,0.6)</f>
        <v>0.95675292449485994</v>
      </c>
      <c r="AY18" s="61">
        <v>2.0833333333333333E-3</v>
      </c>
      <c r="AZ18" s="56">
        <f>IF(AY18/$AZ$2&lt;=1.01,AY18/$AZ$2,0.6)</f>
        <v>5.7306590257879653E-2</v>
      </c>
      <c r="BA18" s="61">
        <v>2.8564814814814814E-2</v>
      </c>
      <c r="BB18" s="56">
        <f>IF(BA18/$BB$2&lt;=1.01,BA18/$BB$2,0.6)</f>
        <v>0.83860006795786601</v>
      </c>
      <c r="BC18" s="56" t="s">
        <v>311</v>
      </c>
      <c r="BD18" s="56" t="s">
        <v>318</v>
      </c>
      <c r="BE18" s="62" t="s">
        <v>325</v>
      </c>
      <c r="BF18" s="56" t="s">
        <v>341</v>
      </c>
      <c r="BG18" s="56"/>
      <c r="BH18" s="56">
        <f>AVERAGE(AV18,AX18,AZ18,BB18)*5</f>
        <v>3.0783712364929947</v>
      </c>
      <c r="BI18" s="56">
        <v>4.7</v>
      </c>
      <c r="BJ18" s="56">
        <v>4.7</v>
      </c>
      <c r="BK18" s="56">
        <v>4.5</v>
      </c>
      <c r="BL18" s="56">
        <v>4.8</v>
      </c>
      <c r="BM18" s="56">
        <v>0</v>
      </c>
      <c r="BN18" s="56">
        <f>AVERAGE(Table1[[#This Row],[Tarea:Impresión 3D (Semana 13) (Real)]:[Tarea:Evaluación Final Sincrónica (Semana 17) (Real)]])*0.7+Table1[[#This Row],[nota asistencia]]*0.3</f>
        <v>3.541511370947898</v>
      </c>
      <c r="BO18" s="56">
        <f t="shared" si="0"/>
        <v>3.9229243929097706</v>
      </c>
    </row>
    <row r="19" spans="1:67" x14ac:dyDescent="0.25">
      <c r="A19" s="37">
        <v>17</v>
      </c>
      <c r="B19" s="37" t="s">
        <v>26</v>
      </c>
      <c r="C19" s="37" t="s">
        <v>92</v>
      </c>
      <c r="D19" s="37">
        <v>1110286885</v>
      </c>
      <c r="E19" s="37" t="s">
        <v>27</v>
      </c>
      <c r="F19" s="47">
        <v>1.7349537037037038E-2</v>
      </c>
      <c r="G19" s="52">
        <f>IF(F19/$G$2&lt;=1.001,F19/$G$2,0.6)</f>
        <v>0.99469143994691445</v>
      </c>
      <c r="H19" s="47">
        <v>3.9293981481481478E-2</v>
      </c>
      <c r="I19" s="52">
        <f>IF(H19/$I$2&lt;=1.001,H19/$I$2,0.6)</f>
        <v>0.98778004073319736</v>
      </c>
      <c r="J19" s="47">
        <v>3.5925925925925924E-2</v>
      </c>
      <c r="K19" s="52">
        <f>IF(J19/$K$2&lt;=1.001,J19/$K$2,0.6)</f>
        <v>0.99935608499678041</v>
      </c>
      <c r="L19" s="47">
        <v>2.2129629629629631E-2</v>
      </c>
      <c r="M19" s="52">
        <f>IF(L19/$M$2&lt;=1.001,L19/$M$2,0.6)</f>
        <v>0.97352342158859484</v>
      </c>
      <c r="N19" s="46">
        <v>4.5590277777777778E-2</v>
      </c>
      <c r="O19" s="52">
        <f>IF(N19/$O$2&lt;=1.001,N19/$O$2,0.6)</f>
        <v>0.97717687918630614</v>
      </c>
      <c r="P19" s="46">
        <v>4.3206018518518519E-2</v>
      </c>
      <c r="Q19" s="52">
        <f>IF(P19/$Q$2&lt;=1.001,P19/$Q$2,0.6)</f>
        <v>1</v>
      </c>
      <c r="R19" s="53">
        <f>AVERAGE(G19,I19,K19,M19,Table1[[#This Row],[%Conexión5]],Table1[[#This Row],[%Conexión6]])*5</f>
        <v>4.9437732220431609</v>
      </c>
      <c r="S19" s="54">
        <v>1</v>
      </c>
      <c r="T19" s="53" t="str" cm="1">
        <f t="array" ref="T19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"Tortuga" en el lenguaje de señas colombiano</v>
      </c>
      <c r="U19" s="55">
        <v>4</v>
      </c>
      <c r="V19" s="55">
        <v>0</v>
      </c>
      <c r="W19" s="55">
        <v>2.1</v>
      </c>
      <c r="X19" s="55">
        <v>1.1000000000000001</v>
      </c>
      <c r="Y19" s="55">
        <v>0</v>
      </c>
      <c r="Z19" s="55">
        <v>1.7</v>
      </c>
      <c r="AA19" s="56">
        <f>AVERAGE(Table1[[#This Row],[Operaciones sobre piezas (Semana 2) ]:[Escaneo de partes anatómicas (Semana 6) ]])*0.7+Table1[[#This Row],[Asistencia]]*0.3</f>
        <v>2.1691319666129485</v>
      </c>
      <c r="AB19" s="46">
        <v>4.1203703703703701E-2</v>
      </c>
      <c r="AC19" s="52">
        <f>IF(AB19/$AC$2&lt;=1.01,AB19/$AC$2,0.6)</f>
        <v>1.0011248593925759</v>
      </c>
      <c r="AD19" s="46">
        <v>3.7314814814814815E-2</v>
      </c>
      <c r="AE19" s="52">
        <f>IF(AD19/$AE$2&lt;=1.01,AD19/$AE$2,0.6)</f>
        <v>0.99414122725871112</v>
      </c>
      <c r="AF19" s="46">
        <v>3.8368055555555558E-2</v>
      </c>
      <c r="AG19" s="52">
        <v>1</v>
      </c>
      <c r="AH19" s="46">
        <v>1.4722222222222222E-2</v>
      </c>
      <c r="AI19" s="52">
        <f>IF(AH19/$AI$2&lt;=1.01,AH19/$AI$2,0.6)</f>
        <v>1</v>
      </c>
      <c r="AJ19" s="46">
        <v>2.6469907407407407E-2</v>
      </c>
      <c r="AK19" s="52">
        <f>IF(AJ19/$AK$2&lt;=1.01,AJ19/$AK$2,0.6)</f>
        <v>0.73679123711340211</v>
      </c>
      <c r="AL19" s="47">
        <v>1.2256944444444444E-2</v>
      </c>
      <c r="AM19" s="52">
        <f>IF(AL19/$AM$2&lt;=1.01,AL19/$AM$2,0.6)</f>
        <v>0.40872250096487839</v>
      </c>
      <c r="AN19" s="53">
        <f>AVERAGE(AC19,AE19,AG19,AI19,AK19,AM19)*5</f>
        <v>4.2839831872746394</v>
      </c>
      <c r="AO19" s="56">
        <v>5</v>
      </c>
      <c r="AP19" s="56">
        <v>2.5</v>
      </c>
      <c r="AQ19" s="56">
        <f>Table1[[#This Row],[Asistencia 2o Corte]]*0.3+AVERAGE(Table1[[#This Row],[Tarea:Introducción a 3DSlicer (Semana 8) (Real)]:[Tarea:Segmentación Manual y Semi-Automática (Semana 10) (Real)]])*0.7</f>
        <v>3.9101949561823917</v>
      </c>
      <c r="AR19" s="56"/>
      <c r="AS19" s="56" t="s">
        <v>271</v>
      </c>
      <c r="AT19" s="56" t="s">
        <v>287</v>
      </c>
      <c r="AU19" s="61">
        <v>3.2835648148148149E-2</v>
      </c>
      <c r="AV19" s="56">
        <f>IF(AU19/$AV$2&lt;=1.01,AU19/$AV$2,0.6)</f>
        <v>0.88435162094763087</v>
      </c>
      <c r="AW19" s="61">
        <v>3.2650462962962964E-2</v>
      </c>
      <c r="AX19" s="56">
        <f>IF(AW19/$AX$2&lt;=1.01,AW19/$AX$2,0.6)</f>
        <v>1</v>
      </c>
      <c r="AY19" s="61">
        <v>3.6481481481481483E-2</v>
      </c>
      <c r="AZ19" s="56">
        <f>IF(AY19/$AZ$2&lt;=1.01,AY19/$AZ$2,0.6)</f>
        <v>1.0035020694046481</v>
      </c>
      <c r="BA19" s="61">
        <v>3.1365740740740743E-2</v>
      </c>
      <c r="BB19" s="56">
        <f>IF(BA19/$BB$2&lt;=1.01,BA19/$BB$2,0.6)</f>
        <v>0.92082908596670066</v>
      </c>
      <c r="BC19" s="56" t="s">
        <v>310</v>
      </c>
      <c r="BD19" s="56" t="s">
        <v>317</v>
      </c>
      <c r="BE19" s="62" t="s">
        <v>324</v>
      </c>
      <c r="BF19" s="56" t="s">
        <v>337</v>
      </c>
      <c r="BG19" s="62" t="s">
        <v>338</v>
      </c>
      <c r="BH19" s="62">
        <f>AVERAGE(AV19,AX19,AZ19,BB19)*5</f>
        <v>4.7608534703987253</v>
      </c>
      <c r="BI19" s="56">
        <v>4.4000000000000004</v>
      </c>
      <c r="BJ19" s="56">
        <v>3.8</v>
      </c>
      <c r="BK19" s="56">
        <v>1.9</v>
      </c>
      <c r="BL19" s="56">
        <v>0</v>
      </c>
      <c r="BM19" s="56">
        <v>0</v>
      </c>
      <c r="BN19" s="56">
        <f>AVERAGE(Table1[[#This Row],[Tarea:Impresión 3D (Semana 13) (Real)]:[Tarea:Evaluación Final Sincrónica (Semana 17) (Real)]])*0.7+Table1[[#This Row],[nota asistencia]]*0.3</f>
        <v>2.8422560411196174</v>
      </c>
      <c r="BO19" s="56">
        <f t="shared" si="0"/>
        <v>2.9738609879716527</v>
      </c>
    </row>
    <row r="20" spans="1:67" x14ac:dyDescent="0.25">
      <c r="A20" s="37">
        <v>18</v>
      </c>
      <c r="B20" s="57" t="s">
        <v>93</v>
      </c>
      <c r="C20" s="57" t="s">
        <v>89</v>
      </c>
      <c r="D20" s="37">
        <v>1094883894</v>
      </c>
      <c r="E20" s="37" t="s">
        <v>56</v>
      </c>
      <c r="F20" s="47">
        <v>0</v>
      </c>
      <c r="G20" s="52">
        <f>IF(F20/$G$2&lt;=1.001,F20/$G$2,0.6)</f>
        <v>0</v>
      </c>
      <c r="H20" s="47">
        <v>3.7743055555555557E-2</v>
      </c>
      <c r="I20" s="52">
        <f>IF(H20/$I$2&lt;=1.001,H20/$I$2,0.6)</f>
        <v>0.94879255164387544</v>
      </c>
      <c r="J20" s="47">
        <v>2.8715277777777777E-2</v>
      </c>
      <c r="K20" s="52">
        <f>IF(J20/$K$2&lt;=1.001,J20/$K$2,0.6)</f>
        <v>0.79877656149388288</v>
      </c>
      <c r="L20" s="47">
        <v>1.9212962962962963E-2</v>
      </c>
      <c r="M20" s="52">
        <f>IF(L20/$M$2&lt;=1.001,L20/$M$2,0.6)</f>
        <v>0.84521384928716903</v>
      </c>
      <c r="N20" s="46">
        <v>0</v>
      </c>
      <c r="O20" s="52">
        <f>IF(N20/$O$2&lt;=1.001,N20/$O$2,0.6)</f>
        <v>0</v>
      </c>
      <c r="P20" s="46">
        <v>0</v>
      </c>
      <c r="Q20" s="52">
        <f>IF(P20/$Q$2&lt;=1.001,P20/$Q$2,0.6)</f>
        <v>0</v>
      </c>
      <c r="R20" s="53">
        <f>AVERAGE(G20,I20,K20,M20,Table1[[#This Row],[%Conexión5]],Table1[[#This Row],[%Conexión6]])*5</f>
        <v>2.1606524686874393</v>
      </c>
      <c r="S20" s="54"/>
      <c r="T20" s="53" t="str" cm="1">
        <f t="array" ref="T20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--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6">
        <f>AVERAGE(Table1[[#This Row],[Operaciones sobre piezas (Semana 2) ]:[Escaneo de partes anatómicas (Semana 6) ]])*0.7+Table1[[#This Row],[Asistencia]]*0.3</f>
        <v>0.64819574060623175</v>
      </c>
      <c r="AB20" s="46">
        <v>0</v>
      </c>
      <c r="AC20" s="52">
        <f>IF(AB20/$AC$2&lt;=1.01,AB20/$AC$2,0.6)</f>
        <v>0</v>
      </c>
      <c r="AD20" s="46">
        <v>3.7384259259259256E-2</v>
      </c>
      <c r="AE20" s="52">
        <f>IF(AD20/$AE$2&lt;=1.01,AD20/$AE$2,0.6)</f>
        <v>0.99599136601911809</v>
      </c>
      <c r="AF20" s="46">
        <v>0</v>
      </c>
      <c r="AG20" s="52">
        <f>IF(AF20/$AG$2&lt;=1.01,AF20/$AG$2,0.6)</f>
        <v>0</v>
      </c>
      <c r="AH20" s="46">
        <v>0</v>
      </c>
      <c r="AI20" s="52">
        <f>IF(AH20/$AI$2&lt;=1.01,AH20/$AI$2,0.6)</f>
        <v>0</v>
      </c>
      <c r="AJ20" s="46">
        <v>0</v>
      </c>
      <c r="AK20" s="52">
        <f>IF(AJ20/$AK$2&lt;=1.01,AJ20/$AK$2,0.6)</f>
        <v>0</v>
      </c>
      <c r="AL20" s="47">
        <v>5.5671296296296293E-3</v>
      </c>
      <c r="AM20" s="52">
        <f>IF(AL20/$AM$2&lt;=1.01,AL20/$AM$2,0.6)</f>
        <v>0.18564260903126206</v>
      </c>
      <c r="AN20" s="53">
        <f>AVERAGE(AC20,AE20,AG20,AI20,AK20,AM20)*5</f>
        <v>0.98469497920865012</v>
      </c>
      <c r="AO20" s="56">
        <v>0</v>
      </c>
      <c r="AP20" s="56">
        <v>0</v>
      </c>
      <c r="AQ20" s="56">
        <f>Table1[[#This Row],[Asistencia 2o Corte]]*0.3+AVERAGE(Table1[[#This Row],[Tarea:Introducción a 3DSlicer (Semana 8) (Real)]:[Tarea:Segmentación Manual y Semi-Automática (Semana 10) (Real)]])*0.7</f>
        <v>0.29540849376259504</v>
      </c>
      <c r="AR20" s="56"/>
      <c r="AS20" s="56"/>
      <c r="AT20" s="56"/>
      <c r="AU20" s="61">
        <v>0</v>
      </c>
      <c r="AV20" s="56">
        <f>IF(AU20/$AV$2&lt;=1.01,AU20/$AV$2,0.6)</f>
        <v>0</v>
      </c>
      <c r="AW20" s="61">
        <v>0</v>
      </c>
      <c r="AX20" s="56">
        <f>IF(AW20/$AX$2&lt;=1.01,AW20/$AX$2,0.6)</f>
        <v>0</v>
      </c>
      <c r="AY20" s="61">
        <v>0</v>
      </c>
      <c r="AZ20" s="56">
        <f>IF(AY20/$AZ$2&lt;=1.01,AY20/$AZ$2,0.6)</f>
        <v>0</v>
      </c>
      <c r="BA20" s="61">
        <v>0</v>
      </c>
      <c r="BB20" s="56">
        <f>IF(BA20/$BB$2&lt;=1.01,BA20/$BB$2,0.6)</f>
        <v>0</v>
      </c>
      <c r="BC20" s="56"/>
      <c r="BD20" s="56"/>
      <c r="BE20" s="56"/>
      <c r="BF20" s="56"/>
      <c r="BG20" s="56"/>
      <c r="BH20" s="56">
        <f>AVERAGE(AV20,AX20,AZ20,BB20)*5</f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0</v>
      </c>
      <c r="BN20" s="56">
        <f>AVERAGE(Table1[[#This Row],[Tarea:Impresión 3D (Semana 13) (Real)]:[Tarea:Evaluación Final Sincrónica (Semana 17) (Real)]])*0.7+Table1[[#This Row],[nota asistencia]]*0.3</f>
        <v>0</v>
      </c>
      <c r="BO20" s="56">
        <f t="shared" si="0"/>
        <v>0.31453474478960891</v>
      </c>
    </row>
    <row r="21" spans="1:67" x14ac:dyDescent="0.25">
      <c r="A21" s="37">
        <v>19</v>
      </c>
      <c r="B21" s="37" t="s">
        <v>22</v>
      </c>
      <c r="C21" s="37" t="s">
        <v>94</v>
      </c>
      <c r="D21" s="37">
        <v>1005832925</v>
      </c>
      <c r="E21" s="37" t="s">
        <v>23</v>
      </c>
      <c r="F21" s="47">
        <v>1.7314814814814814E-2</v>
      </c>
      <c r="G21" s="52">
        <f>IF(F21/$G$2&lt;=1.001,F21/$G$2,0.6)</f>
        <v>0.9927007299270072</v>
      </c>
      <c r="H21" s="47">
        <v>3.9814814814814817E-2</v>
      </c>
      <c r="I21" s="52">
        <f>IF(H21/$I$2&lt;=1.001,H21/$I$2,0.6)</f>
        <v>1.0008728542333429</v>
      </c>
      <c r="J21" s="47">
        <v>3.5868055555555556E-2</v>
      </c>
      <c r="K21" s="52">
        <f>IF(J21/$K$2&lt;=1.001,J21/$K$2,0.6)</f>
        <v>0.99774629748873156</v>
      </c>
      <c r="L21" s="47">
        <v>2.1909722222222223E-2</v>
      </c>
      <c r="M21" s="52">
        <f>IF(L21/$M$2&lt;=1.001,L21/$M$2,0.6)</f>
        <v>0.96384928716904283</v>
      </c>
      <c r="N21" s="46">
        <v>4.6631944444444441E-2</v>
      </c>
      <c r="O21" s="52">
        <f>IF(N21/$O$2&lt;=1.001,N21/$O$2,0.6)</f>
        <v>0.99950384519970215</v>
      </c>
      <c r="P21" s="46">
        <v>4.2488425925925923E-2</v>
      </c>
      <c r="Q21" s="52">
        <f>IF(P21/$Q$2&lt;=1.001,P21/$Q$2,0.6)</f>
        <v>0.98339137422984191</v>
      </c>
      <c r="R21" s="53">
        <f>AVERAGE(G21,I21,K21,M21,Table1[[#This Row],[%Conexión5]],Table1[[#This Row],[%Conexión6]])*5</f>
        <v>4.9483869902063908</v>
      </c>
      <c r="S21" s="54">
        <v>3</v>
      </c>
      <c r="T21" s="53" t="str" cm="1">
        <f t="array" ref="T21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"Oveja" en el lenguaje de señas colombiano</v>
      </c>
      <c r="U21" s="55">
        <v>5</v>
      </c>
      <c r="V21" s="55">
        <v>5</v>
      </c>
      <c r="W21" s="55">
        <v>5</v>
      </c>
      <c r="X21" s="55">
        <v>5</v>
      </c>
      <c r="Y21" s="55">
        <v>5</v>
      </c>
      <c r="Z21" s="55">
        <v>4.5</v>
      </c>
      <c r="AA21" s="56">
        <f>AVERAGE(Table1[[#This Row],[Operaciones sobre piezas (Semana 2) ]:[Escaneo de partes anatómicas (Semana 6) ]])*0.7+Table1[[#This Row],[Asistencia]]*0.3</f>
        <v>4.9145160970619175</v>
      </c>
      <c r="AB21" s="46">
        <v>3.8379629629629632E-2</v>
      </c>
      <c r="AC21" s="52">
        <f>IF(AB21/$AC$2&lt;=1.01,AB21/$AC$2,0.6)</f>
        <v>0.93250843644544434</v>
      </c>
      <c r="AD21" s="46">
        <v>3.3958333333333333E-2</v>
      </c>
      <c r="AE21" s="52">
        <f>IF(AD21/$AE$2&lt;=1.01,AD21/$AE$2,0.6)</f>
        <v>0.90471785383903802</v>
      </c>
      <c r="AF21" s="46">
        <v>3.8368055555555558E-2</v>
      </c>
      <c r="AG21" s="52">
        <v>1</v>
      </c>
      <c r="AH21" s="46">
        <v>1.4722222222222222E-2</v>
      </c>
      <c r="AI21" s="52">
        <f>IF(AH21/$AI$2&lt;=1.01,AH21/$AI$2,0.6)</f>
        <v>1</v>
      </c>
      <c r="AJ21" s="46">
        <v>3.5925925925925924E-2</v>
      </c>
      <c r="AK21" s="52">
        <f>IF(AJ21/$AK$2&lt;=1.01,AJ21/$AK$2,0.6)</f>
        <v>1</v>
      </c>
      <c r="AL21" s="47">
        <v>1.2233796296296295E-2</v>
      </c>
      <c r="AM21" s="52">
        <f>IF(AL21/$AM$2&lt;=1.01,AL21/$AM$2,0.6)</f>
        <v>0.40795059822462365</v>
      </c>
      <c r="AN21" s="53">
        <f>AVERAGE(AC21,AE21,AG21,AI21,AK21,AM21)*5</f>
        <v>4.3709807404242547</v>
      </c>
      <c r="AO21" s="56">
        <v>5</v>
      </c>
      <c r="AP21" s="56">
        <v>4.3</v>
      </c>
      <c r="AQ21" s="56">
        <f>Table1[[#This Row],[Asistencia 2o Corte]]*0.3+AVERAGE(Table1[[#This Row],[Tarea:Introducción a 3DSlicer (Semana 8) (Real)]:[Tarea:Segmentación Manual y Semi-Automática (Semana 10) (Real)]])*0.7</f>
        <v>4.5662942221272758</v>
      </c>
      <c r="AR21" s="56"/>
      <c r="AS21" s="56"/>
      <c r="AT21" s="56" t="s">
        <v>290</v>
      </c>
      <c r="AU21" s="61">
        <v>3.5590277777777776E-2</v>
      </c>
      <c r="AV21" s="56">
        <f>IF(AU21/$AV$2&lt;=1.01,AU21/$AV$2,0.6)</f>
        <v>0.95854114713216954</v>
      </c>
      <c r="AW21" s="61">
        <v>3.2083333333333332E-2</v>
      </c>
      <c r="AX21" s="56">
        <f>IF(AW21/$AX$2&lt;=1.01,AW21/$AX$2,0.6)</f>
        <v>0.98263027295285355</v>
      </c>
      <c r="AY21" s="61">
        <v>3.5949074074074071E-2</v>
      </c>
      <c r="AZ21" s="56">
        <f>IF(AY21/$AZ$2&lt;=1.01,AY21/$AZ$2,0.6)</f>
        <v>0.98885705189430106</v>
      </c>
      <c r="BA21" s="61">
        <v>3.1516203703703706E-2</v>
      </c>
      <c r="BB21" s="56">
        <f>IF(BA21/$BB$2&lt;=1.01,BA21/$BB$2,0.6)</f>
        <v>0.9252463472646959</v>
      </c>
      <c r="BC21" s="56"/>
      <c r="BD21" s="56" t="s">
        <v>319</v>
      </c>
      <c r="BE21" s="56"/>
      <c r="BF21" s="56" t="s">
        <v>342</v>
      </c>
      <c r="BG21" s="56"/>
      <c r="BH21" s="56">
        <f>AVERAGE(AV21,AX21,AZ21,BB21)*5</f>
        <v>4.8190935240550248</v>
      </c>
      <c r="BI21" s="56">
        <v>5</v>
      </c>
      <c r="BJ21" s="56">
        <v>4.7</v>
      </c>
      <c r="BK21" s="56">
        <v>4.8</v>
      </c>
      <c r="BL21" s="56">
        <v>4.3</v>
      </c>
      <c r="BM21" s="56">
        <v>3.8</v>
      </c>
      <c r="BN21" s="56">
        <f>AVERAGE(Table1[[#This Row],[Tarea:Impresión 3D (Semana 13) (Real)]:[Tarea:Evaluación Final Sincrónica (Semana 17) (Real)]])*0.7+Table1[[#This Row],[nota asistencia]]*0.3</f>
        <v>4.6097280572165076</v>
      </c>
      <c r="BO21" s="56">
        <f t="shared" si="0"/>
        <v>4.6968461254685669</v>
      </c>
    </row>
    <row r="22" spans="1:67" x14ac:dyDescent="0.25">
      <c r="A22" s="37">
        <v>20</v>
      </c>
      <c r="B22" s="37" t="s">
        <v>95</v>
      </c>
      <c r="C22" s="37" t="s">
        <v>96</v>
      </c>
      <c r="D22" s="37">
        <v>1002886235</v>
      </c>
      <c r="E22" s="37" t="s">
        <v>57</v>
      </c>
      <c r="F22" s="47">
        <v>1.7395833333333333E-2</v>
      </c>
      <c r="G22" s="52">
        <f>IF(F22/$G$2&lt;=1.001,F22/$G$2,0.6)</f>
        <v>0.99734571997345711</v>
      </c>
      <c r="H22" s="47">
        <v>3.8217592592592595E-2</v>
      </c>
      <c r="I22" s="52">
        <f>IF(H22/$I$2&lt;=1.001,H22/$I$2,0.6)</f>
        <v>0.9607215594995635</v>
      </c>
      <c r="J22" s="47">
        <v>3.5960648148148151E-2</v>
      </c>
      <c r="K22" s="52">
        <f>IF(J22/$K$2&lt;=1.001,J22/$K$2,0.6)</f>
        <v>1.00032195750161</v>
      </c>
      <c r="L22" s="47">
        <v>2.2662037037037036E-2</v>
      </c>
      <c r="M22" s="52">
        <f>IF(L22/$M$2&lt;=1.001,L22/$M$2,0.6)</f>
        <v>0.9969450101832994</v>
      </c>
      <c r="N22" s="46">
        <v>4.6666666666666669E-2</v>
      </c>
      <c r="O22" s="52">
        <f>IF(N22/$O$2&lt;=1.001,N22/$O$2,0.6)</f>
        <v>1.0002480774001488</v>
      </c>
      <c r="P22" s="46">
        <v>4.3206018518518519E-2</v>
      </c>
      <c r="Q22" s="52">
        <f>IF(P22/$Q$2&lt;=1.001,P22/$Q$2,0.6)</f>
        <v>1</v>
      </c>
      <c r="R22" s="53">
        <f>AVERAGE(G22,I22,K22,M22,Table1[[#This Row],[%Conexión5]],Table1[[#This Row],[%Conexión6]])*5</f>
        <v>4.9629852704650652</v>
      </c>
      <c r="S22" s="54">
        <v>7</v>
      </c>
      <c r="T22" s="53" t="str" cm="1">
        <f t="array" ref="T22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"Flor" en el lenguaje de señas colombiano</v>
      </c>
      <c r="U22" s="55">
        <v>4.5999999999999996</v>
      </c>
      <c r="V22" s="55">
        <v>4.5</v>
      </c>
      <c r="W22" s="55">
        <v>4.8</v>
      </c>
      <c r="X22" s="55">
        <v>3.3</v>
      </c>
      <c r="Y22" s="55">
        <v>4.8</v>
      </c>
      <c r="Z22" s="55">
        <v>4.5</v>
      </c>
      <c r="AA22" s="56">
        <f>AVERAGE(Table1[[#This Row],[Operaciones sobre piezas (Semana 2) ]:[Escaneo de partes anatómicas (Semana 6) ]])*0.7+Table1[[#This Row],[Asistencia]]*0.3</f>
        <v>4.5548955811395198</v>
      </c>
      <c r="AB22" s="46">
        <v>4.1157407407407406E-2</v>
      </c>
      <c r="AC22" s="52">
        <f>IF(AB22/$AC$2&lt;=1.01,AB22/$AC$2,0.6)</f>
        <v>1</v>
      </c>
      <c r="AD22" s="46">
        <v>0</v>
      </c>
      <c r="AE22" s="52">
        <f>IF(AD22/$AE$2&lt;=1.01,AD22/$AE$2,0.6)</f>
        <v>0</v>
      </c>
      <c r="AF22" s="46">
        <v>3.8368055555555558E-2</v>
      </c>
      <c r="AG22" s="52">
        <v>1</v>
      </c>
      <c r="AH22" s="46">
        <v>1.4722222222222222E-2</v>
      </c>
      <c r="AI22" s="52">
        <f>IF(AH22/$AI$2&lt;=1.01,AH22/$AI$2,0.6)</f>
        <v>1</v>
      </c>
      <c r="AJ22" s="46">
        <v>3.5925925925925924E-2</v>
      </c>
      <c r="AK22" s="52">
        <f>IF(AJ22/$AK$2&lt;=1.01,AJ22/$AK$2,0.6)</f>
        <v>1</v>
      </c>
      <c r="AL22" s="47">
        <v>2.5740740740740738E-2</v>
      </c>
      <c r="AM22" s="52">
        <f>IF(AL22/$AM$2&lt;=1.01,AL22/$AM$2,0.6)</f>
        <v>0.8583558471632573</v>
      </c>
      <c r="AN22" s="53">
        <f>AVERAGE(AC22,AE22,AG22,AI22,AK22,AM22)*5</f>
        <v>4.0486298726360479</v>
      </c>
      <c r="AO22" s="56">
        <v>5</v>
      </c>
      <c r="AP22" s="56">
        <v>3.4</v>
      </c>
      <c r="AQ22" s="56">
        <f>Table1[[#This Row],[Asistencia 2o Corte]]*0.3+AVERAGE(Table1[[#This Row],[Tarea:Introducción a 3DSlicer (Semana 8) (Real)]:[Tarea:Segmentación Manual y Semi-Automática (Semana 10) (Real)]])*0.7</f>
        <v>4.1545889617908145</v>
      </c>
      <c r="AR22" s="56"/>
      <c r="AS22" s="56"/>
      <c r="AT22" s="56"/>
      <c r="AU22" s="61">
        <v>3.712962962962963E-2</v>
      </c>
      <c r="AV22" s="56">
        <f>IF(AU22/$AV$2&lt;=1.01,AU22/$AV$2,0.6)</f>
        <v>1</v>
      </c>
      <c r="AW22" s="61">
        <v>3.2650462962962964E-2</v>
      </c>
      <c r="AX22" s="56">
        <f>IF(AW22/$AX$2&lt;=1.01,AW22/$AX$2,0.6)</f>
        <v>1</v>
      </c>
      <c r="AY22" s="61">
        <v>3.6307870370370372E-2</v>
      </c>
      <c r="AZ22" s="56">
        <f>IF(AY22/$AZ$2&lt;=1.01,AY22/$AZ$2,0.6)</f>
        <v>0.99872652021649166</v>
      </c>
      <c r="BA22" s="61">
        <v>3.4074074074074076E-2</v>
      </c>
      <c r="BB22" s="56">
        <f>IF(BA22/$BB$2&lt;=1.01,BA22/$BB$2,0.6)</f>
        <v>1.000339789330615</v>
      </c>
      <c r="BC22" s="56"/>
      <c r="BD22" s="56"/>
      <c r="BE22" s="56"/>
      <c r="BF22" s="56" t="s">
        <v>342</v>
      </c>
      <c r="BG22" s="56"/>
      <c r="BH22" s="56">
        <f>AVERAGE(AV22,AX22,AZ22,BB22)*5</f>
        <v>4.9988328869338829</v>
      </c>
      <c r="BI22" s="56">
        <v>4.7</v>
      </c>
      <c r="BJ22" s="56">
        <v>4.0999999999999996</v>
      </c>
      <c r="BK22" s="56">
        <v>4</v>
      </c>
      <c r="BL22" s="56">
        <v>4.5</v>
      </c>
      <c r="BM22" s="56">
        <v>0</v>
      </c>
      <c r="BN22" s="56">
        <f>AVERAGE(Table1[[#This Row],[Tarea:Impresión 3D (Semana 13) (Real)]:[Tarea:Evaluación Final Sincrónica (Semana 17) (Real)]])*0.7+Table1[[#This Row],[nota asistencia]]*0.3</f>
        <v>3.9216498660801644</v>
      </c>
      <c r="BO22" s="56">
        <f t="shared" si="0"/>
        <v>4.2103781363368329</v>
      </c>
    </row>
    <row r="23" spans="1:67" x14ac:dyDescent="0.25">
      <c r="A23" s="37" t="s">
        <v>270</v>
      </c>
      <c r="B23" s="37" t="s">
        <v>48</v>
      </c>
      <c r="C23" s="37" t="s">
        <v>97</v>
      </c>
      <c r="D23" s="37">
        <v>1112388822</v>
      </c>
      <c r="E23" s="37" t="s">
        <v>49</v>
      </c>
      <c r="F23" s="47">
        <v>1.7337962962962961E-2</v>
      </c>
      <c r="G23" s="52">
        <f>IF(F23/$G$2&lt;=1.001,F23/$G$2,0.6)</f>
        <v>0.99402786994027859</v>
      </c>
      <c r="H23" s="47">
        <v>3.9224537037037037E-2</v>
      </c>
      <c r="I23" s="52">
        <f>IF(H23/$I$2&lt;=1.001,H23/$I$2,0.6)</f>
        <v>0.98603433226651138</v>
      </c>
      <c r="J23" s="47">
        <v>3.5879629629629629E-2</v>
      </c>
      <c r="K23" s="52">
        <f>IF(J23/$K$2&lt;=1.001,J23/$K$2,0.6)</f>
        <v>0.99806825499034135</v>
      </c>
      <c r="L23" s="47">
        <v>0</v>
      </c>
      <c r="M23" s="52">
        <f>IF(L23/$M$2&lt;=1.001,L23/$M$2,0.6)</f>
        <v>0</v>
      </c>
      <c r="N23" s="46">
        <v>3.2685185185185185E-2</v>
      </c>
      <c r="O23" s="52">
        <f>IF(N23/$O$2&lt;=1.001,N23/$O$2,0.6)</f>
        <v>0.70057057802034228</v>
      </c>
      <c r="P23" s="46">
        <v>3.3252314814814818E-2</v>
      </c>
      <c r="Q23" s="52">
        <f>IF(P23/$Q$2&lt;=1.001,P23/$Q$2,0.6)</f>
        <v>0.76962228770425933</v>
      </c>
      <c r="R23" s="53">
        <f>AVERAGE(G23,I23,K23,M23,Table1[[#This Row],[%Conexión5]],Table1[[#This Row],[%Conexión6]])*5</f>
        <v>3.7069361024347773</v>
      </c>
      <c r="S23" s="54">
        <v>4</v>
      </c>
      <c r="T23" s="53" t="str" cm="1">
        <f t="array" ref="T23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"Durazno" en el lenguaje de señas colombiano</v>
      </c>
      <c r="U23" s="55">
        <v>4.5</v>
      </c>
      <c r="V23" s="55">
        <v>4.8</v>
      </c>
      <c r="W23" s="55">
        <v>4</v>
      </c>
      <c r="X23" s="55">
        <v>3.3</v>
      </c>
      <c r="Y23" s="55">
        <v>5</v>
      </c>
      <c r="Z23" s="55">
        <v>4.5</v>
      </c>
      <c r="AA23" s="56">
        <f>AVERAGE(Table1[[#This Row],[Operaciones sobre piezas (Semana 2) ]:[Escaneo de partes anatómicas (Semana 6) ]])*0.7+Table1[[#This Row],[Asistencia]]*0.3</f>
        <v>4.1360808307304335</v>
      </c>
      <c r="AB23" s="46">
        <v>3.2615740740740744E-2</v>
      </c>
      <c r="AC23" s="52">
        <f>IF(AB23/$AC$2&lt;=1.01,AB23/$AC$2,0.6)</f>
        <v>0.7924634420697414</v>
      </c>
      <c r="AD23" s="46">
        <v>2.9525462962962962E-2</v>
      </c>
      <c r="AE23" s="52">
        <f>IF(AD23/$AE$2&lt;=1.01,AD23/$AE$2,0.6)</f>
        <v>0.78661732963305586</v>
      </c>
      <c r="AF23" s="46">
        <v>3.7488425925925925E-2</v>
      </c>
      <c r="AG23" s="52">
        <f>IF(AF23/$AG$2&lt;=1.01,AF23/$AG$2,0.6)</f>
        <v>0.99876657415972869</v>
      </c>
      <c r="AH23" s="46">
        <v>0</v>
      </c>
      <c r="AI23" s="52">
        <f>IF(AH23/$AI$2&lt;=1.01,AH23/$AI$2,0.6)</f>
        <v>0</v>
      </c>
      <c r="AJ23" s="46">
        <v>4.0162037037037041E-3</v>
      </c>
      <c r="AK23" s="52">
        <f>IF(AJ23/$AK$2&lt;=1.01,AJ23/$AK$2,0.6)</f>
        <v>0.11179123711340208</v>
      </c>
      <c r="AL23" s="47">
        <v>1.7407407407407406E-2</v>
      </c>
      <c r="AM23" s="52">
        <f>IF(AL23/$AM$2&lt;=1.01,AL23/$AM$2,0.6)</f>
        <v>0.5804708606715554</v>
      </c>
      <c r="AN23" s="53">
        <f>AVERAGE(AC23,AE23,AG23,AI23,AK23,AM23)*5</f>
        <v>2.7250912030395695</v>
      </c>
      <c r="AO23" s="56">
        <v>5</v>
      </c>
      <c r="AP23" s="56">
        <v>3.6</v>
      </c>
      <c r="AQ23" s="56">
        <f>Table1[[#This Row],[Asistencia 2o Corte]]*0.3+AVERAGE(Table1[[#This Row],[Tarea:Introducción a 3DSlicer (Semana 8) (Real)]:[Tarea:Segmentación Manual y Semi-Automática (Semana 10) (Real)]])*0.7</f>
        <v>3.8275273609118705</v>
      </c>
      <c r="AR23" s="56"/>
      <c r="AS23" s="56"/>
      <c r="AT23" s="56" t="s">
        <v>292</v>
      </c>
      <c r="AU23" s="61">
        <v>2.7766203703703703E-2</v>
      </c>
      <c r="AV23" s="56">
        <f>IF(AU23/$AV$2&lt;=1.01,AU23/$AV$2,0.6)</f>
        <v>0.74781795511221938</v>
      </c>
      <c r="AW23" s="61">
        <v>3.0046296296296297E-2</v>
      </c>
      <c r="AX23" s="56">
        <f>IF(AW23/$AX$2&lt;=1.01,AW23/$AX$2,0.6)</f>
        <v>0.9202410492733073</v>
      </c>
      <c r="AY23" s="61">
        <v>3.6481481481481483E-2</v>
      </c>
      <c r="AZ23" s="56">
        <f>IF(AY23/$AZ$2&lt;=1.01,AY23/$AZ$2,0.6)</f>
        <v>1.0035020694046481</v>
      </c>
      <c r="BA23" s="61">
        <v>2.5104166666666667E-2</v>
      </c>
      <c r="BB23" s="56">
        <f>IF(BA23/$BB$2&lt;=1.01,BA23/$BB$2,0.6)</f>
        <v>0.73700305810397548</v>
      </c>
      <c r="BC23" s="56"/>
      <c r="BD23" s="56" t="s">
        <v>319</v>
      </c>
      <c r="BE23" s="56"/>
      <c r="BF23" s="56" t="s">
        <v>339</v>
      </c>
      <c r="BG23" s="56"/>
      <c r="BH23" s="56">
        <f>AVERAGE(AV23,AX23,AZ23,BB23)*5</f>
        <v>4.2607051648676872</v>
      </c>
      <c r="BI23" s="56">
        <v>5</v>
      </c>
      <c r="BJ23" s="56">
        <v>4.4000000000000004</v>
      </c>
      <c r="BK23" s="56">
        <v>4.8</v>
      </c>
      <c r="BL23" s="56">
        <v>4.8</v>
      </c>
      <c r="BM23" s="56">
        <v>3.6</v>
      </c>
      <c r="BN23" s="56">
        <f>AVERAGE(Table1[[#This Row],[Tarea:Impresión 3D (Semana 13) (Real)]:[Tarea:Evaluación Final Sincrónica (Semana 17) (Real)]])*0.7+Table1[[#This Row],[nota asistencia]]*0.3</f>
        <v>4.4422115494603061</v>
      </c>
      <c r="BO23" s="56">
        <f t="shared" si="0"/>
        <v>4.1352732470342035</v>
      </c>
    </row>
    <row r="24" spans="1:67" x14ac:dyDescent="0.25">
      <c r="A24" s="37">
        <v>22</v>
      </c>
      <c r="B24" s="37" t="s">
        <v>44</v>
      </c>
      <c r="C24" s="37" t="s">
        <v>98</v>
      </c>
      <c r="D24" s="37">
        <v>1061688602</v>
      </c>
      <c r="E24" s="37" t="s">
        <v>45</v>
      </c>
      <c r="F24" s="47">
        <v>1.7303240740740741E-2</v>
      </c>
      <c r="G24" s="52">
        <f>IF(F24/$G$2&lt;=1.001,F24/$G$2,0.6)</f>
        <v>0.99203715992037156</v>
      </c>
      <c r="H24" s="47">
        <v>3.9247685185185184E-2</v>
      </c>
      <c r="I24" s="52">
        <f>IF(H24/$I$2&lt;=1.001,H24/$I$2,0.6)</f>
        <v>0.98661623508874008</v>
      </c>
      <c r="J24" s="47">
        <v>3.5891203703703703E-2</v>
      </c>
      <c r="K24" s="52">
        <f>IF(J24/$K$2&lt;=1.001,J24/$K$2,0.6)</f>
        <v>0.99839021249195115</v>
      </c>
      <c r="L24" s="47">
        <v>2.162037037037037E-2</v>
      </c>
      <c r="M24" s="52">
        <f>IF(L24/$M$2&lt;=1.001,L24/$M$2,0.6)</f>
        <v>0.95112016293279023</v>
      </c>
      <c r="N24" s="46">
        <v>4.6122685185185183E-2</v>
      </c>
      <c r="O24" s="52">
        <f>IF(N24/$O$2&lt;=1.001,N24/$O$2,0.6)</f>
        <v>0.98858843959315301</v>
      </c>
      <c r="P24" s="46">
        <v>0</v>
      </c>
      <c r="Q24" s="52">
        <f>IF(P24/$Q$2&lt;=1.001,P24/$Q$2,0.6)</f>
        <v>0</v>
      </c>
      <c r="R24" s="53">
        <f>AVERAGE(G24,I24,K24,M24,Table1[[#This Row],[%Conexión5]],Table1[[#This Row],[%Conexión6]])*5</f>
        <v>4.0972935083558388</v>
      </c>
      <c r="S24" s="54">
        <v>8</v>
      </c>
      <c r="T24" s="53" t="e" cm="1">
        <f t="array" ref="T24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#N/A</v>
      </c>
      <c r="U24" s="55">
        <v>4.9000000000000004</v>
      </c>
      <c r="V24" s="55">
        <v>0</v>
      </c>
      <c r="W24" s="55">
        <v>0</v>
      </c>
      <c r="X24" s="55">
        <v>3.3</v>
      </c>
      <c r="Y24" s="55">
        <v>0</v>
      </c>
      <c r="Z24" s="55">
        <v>0</v>
      </c>
      <c r="AA24" s="56">
        <f>AVERAGE(Table1[[#This Row],[Operaciones sobre piezas (Semana 2) ]:[Escaneo de partes anatómicas (Semana 6) ]])*0.7+Table1[[#This Row],[Asistencia]]*0.3</f>
        <v>1.6911880525067515</v>
      </c>
      <c r="AB24" s="46">
        <v>0</v>
      </c>
      <c r="AC24" s="52">
        <f>IF(AB24/$AC$2&lt;=1.01,AB24/$AC$2,0.6)</f>
        <v>0</v>
      </c>
      <c r="AD24" s="46">
        <v>0</v>
      </c>
      <c r="AE24" s="52">
        <f>IF(AD24/$AE$2&lt;=1.01,AD24/$AE$2,0.6)</f>
        <v>0</v>
      </c>
      <c r="AF24" s="46">
        <v>3.8368055555555558E-2</v>
      </c>
      <c r="AG24" s="52">
        <v>1</v>
      </c>
      <c r="AH24" s="46">
        <v>1.4722222222222222E-2</v>
      </c>
      <c r="AI24" s="52">
        <f>IF(AH24/$AI$2&lt;=1.01,AH24/$AI$2,0.6)</f>
        <v>1</v>
      </c>
      <c r="AJ24" s="46">
        <v>3.5925925925925924E-2</v>
      </c>
      <c r="AK24" s="52">
        <f>IF(AJ24/$AK$2&lt;=1.01,AJ24/$AK$2,0.6)</f>
        <v>1</v>
      </c>
      <c r="AL24" s="47">
        <v>1.2210648148148148E-2</v>
      </c>
      <c r="AM24" s="52">
        <f>IF(AL24/$AM$2&lt;=1.01,AL24/$AM$2,0.6)</f>
        <v>0.40717869548436897</v>
      </c>
      <c r="AN24" s="53">
        <f>AVERAGE(AC24,AE24,AG24,AI24,AK24,AM24)*5</f>
        <v>2.8393155795703073</v>
      </c>
      <c r="AO24" s="56">
        <v>5</v>
      </c>
      <c r="AP24" s="56">
        <v>2.1</v>
      </c>
      <c r="AQ24" s="56">
        <f>Table1[[#This Row],[Asistencia 2o Corte]]*0.3+AVERAGE(Table1[[#This Row],[Tarea:Introducción a 3DSlicer (Semana 8) (Real)]:[Tarea:Segmentación Manual y Semi-Automática (Semana 10) (Real)]])*0.7</f>
        <v>3.3367946738710921</v>
      </c>
      <c r="AR24" s="56"/>
      <c r="AS24" s="56" t="s">
        <v>274</v>
      </c>
      <c r="AT24" s="56" t="s">
        <v>298</v>
      </c>
      <c r="AU24" s="61">
        <v>3.712962962962963E-2</v>
      </c>
      <c r="AV24" s="56">
        <f>IF(AU24/$AV$2&lt;=1.01,AU24/$AV$2,0.6)</f>
        <v>1</v>
      </c>
      <c r="AW24" s="61">
        <v>3.2604166666666663E-2</v>
      </c>
      <c r="AX24" s="56">
        <f>IF(AW24/$AX$2&lt;=1.01,AW24/$AX$2,0.6)</f>
        <v>0.99858206309819197</v>
      </c>
      <c r="AY24" s="61">
        <v>0</v>
      </c>
      <c r="AZ24" s="56">
        <f>IF(AY24/$AZ$2&lt;=1.01,AY24/$AZ$2,0.6)</f>
        <v>0</v>
      </c>
      <c r="BA24" s="61">
        <v>0</v>
      </c>
      <c r="BB24" s="56">
        <f>IF(BA24/$BB$2&lt;=1.01,BA24/$BB$2,0.6)</f>
        <v>0</v>
      </c>
      <c r="BC24" s="56" t="s">
        <v>311</v>
      </c>
      <c r="BD24" s="56"/>
      <c r="BE24" s="56"/>
      <c r="BF24" s="56" t="s">
        <v>343</v>
      </c>
      <c r="BG24" s="56"/>
      <c r="BH24" s="56">
        <f>AVERAGE(AV24,AX24,AZ24,BB24)*5</f>
        <v>2.4982275788727399</v>
      </c>
      <c r="BI24" s="56">
        <v>0</v>
      </c>
      <c r="BJ24" s="56">
        <v>3.5</v>
      </c>
      <c r="BK24" s="56">
        <v>4.3</v>
      </c>
      <c r="BL24" s="56">
        <v>0</v>
      </c>
      <c r="BM24" s="56">
        <v>3</v>
      </c>
      <c r="BN24" s="56">
        <f>AVERAGE(Table1[[#This Row],[Tarea:Impresión 3D (Semana 13) (Real)]:[Tarea:Evaluación Final Sincrónica (Semana 17) (Real)]])*0.7+Table1[[#This Row],[nota asistencia]]*0.3</f>
        <v>2.2614682736618219</v>
      </c>
      <c r="BO24" s="56">
        <f t="shared" si="0"/>
        <v>2.4298170000132218</v>
      </c>
    </row>
    <row r="25" spans="1:67" x14ac:dyDescent="0.25">
      <c r="A25" s="37">
        <v>24</v>
      </c>
      <c r="B25" s="37" t="s">
        <v>16</v>
      </c>
      <c r="C25" s="37" t="s">
        <v>100</v>
      </c>
      <c r="D25" s="37">
        <v>1112041894</v>
      </c>
      <c r="E25" s="37" t="s">
        <v>17</v>
      </c>
      <c r="F25" s="47">
        <v>3.7592592592592594E-2</v>
      </c>
      <c r="G25" s="52">
        <f>IF(F25/$G$2&lt;=1.001,F25/$G$2,0.6)</f>
        <v>0.6</v>
      </c>
      <c r="H25" s="47">
        <v>2.7164351851851853E-2</v>
      </c>
      <c r="I25" s="52">
        <f>IF(H25/$I$2&lt;=1.001,H25/$I$2,0.6)</f>
        <v>0.68286296188536511</v>
      </c>
      <c r="J25" s="47">
        <v>0</v>
      </c>
      <c r="K25" s="52">
        <f>IF(J25/$K$2&lt;=1.001,J25/$K$2,0.6)</f>
        <v>0</v>
      </c>
      <c r="L25" s="47">
        <v>0</v>
      </c>
      <c r="M25" s="52">
        <f>IF(L25/$M$2&lt;=1.001,L25/$M$2,0.6)</f>
        <v>0</v>
      </c>
      <c r="N25" s="46">
        <v>4.1226851851851855E-2</v>
      </c>
      <c r="O25" s="52">
        <f>IF(N25/$O$2&lt;=1.001,N25/$O$2,0.6)</f>
        <v>0.88365169933019105</v>
      </c>
      <c r="P25" s="46">
        <v>4.2858796296296298E-2</v>
      </c>
      <c r="Q25" s="52">
        <f>IF(P25/$Q$2&lt;=1.001,P25/$Q$2,0.6)</f>
        <v>0.99196356817573006</v>
      </c>
      <c r="R25" s="53">
        <f>AVERAGE(G25,I25,K25,M25,Table1[[#This Row],[%Conexión5]],Table1[[#This Row],[%Conexión6]])*5</f>
        <v>2.6320651911594055</v>
      </c>
      <c r="S25" s="54">
        <v>5</v>
      </c>
      <c r="T25" s="53" t="str" cm="1">
        <f t="array" ref="T25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"Caracol" en el lenguaje de señas colombiano</v>
      </c>
      <c r="U25" s="55">
        <v>1</v>
      </c>
      <c r="V25" s="55">
        <v>2.5</v>
      </c>
      <c r="W25" s="55">
        <v>2.8</v>
      </c>
      <c r="X25" s="55">
        <v>3.3</v>
      </c>
      <c r="Y25" s="55">
        <v>0</v>
      </c>
      <c r="Z25" s="55">
        <v>4.5</v>
      </c>
      <c r="AA25" s="56">
        <f>AVERAGE(Table1[[#This Row],[Operaciones sobre piezas (Semana 2) ]:[Escaneo de partes anatómicas (Semana 6) ]])*0.7+Table1[[#This Row],[Asistencia]]*0.3</f>
        <v>2.6236195573478214</v>
      </c>
      <c r="AB25" s="46">
        <v>4.0208333333333332E-2</v>
      </c>
      <c r="AC25" s="52">
        <f>IF(AB25/$AC$2&lt;=1.01,AB25/$AC$2,0.6)</f>
        <v>0.9769403824521935</v>
      </c>
      <c r="AD25" s="46">
        <v>3.6712962962962961E-2</v>
      </c>
      <c r="AE25" s="52">
        <f>IF(AD25/$AE$2&lt;=1.01,AD25/$AE$2,0.6)</f>
        <v>0.97810669133518346</v>
      </c>
      <c r="AF25" s="46">
        <v>3.7557870370370373E-2</v>
      </c>
      <c r="AG25" s="52">
        <f>IF(AF25/$AG$2&lt;=1.01,AF25/$AG$2,0.6)</f>
        <v>1.0006167129201358</v>
      </c>
      <c r="AH25" s="46">
        <v>1.4722222222222222E-2</v>
      </c>
      <c r="AI25" s="52">
        <f>IF(AH25/$AI$2&lt;=1.01,AH25/$AI$2,0.6)</f>
        <v>1</v>
      </c>
      <c r="AJ25" s="46">
        <v>3.4872685185185187E-2</v>
      </c>
      <c r="AK25" s="52">
        <f>IF(AJ25/$AK$2&lt;=1.01,AJ25/$AK$2,0.6)</f>
        <v>0.97068298969072175</v>
      </c>
      <c r="AL25" s="47">
        <v>1.0462962962962962E-2</v>
      </c>
      <c r="AM25" s="52">
        <f>IF(AL25/$AM$2&lt;=1.01,AL25/$AM$2,0.6)</f>
        <v>0.34890003859513702</v>
      </c>
      <c r="AN25" s="53">
        <f>AVERAGE(AC25,AE25,AG25,AI25,AK25,AM25)*5</f>
        <v>4.3960390124944766</v>
      </c>
      <c r="AO25" s="56">
        <v>5</v>
      </c>
      <c r="AP25" s="56">
        <v>0</v>
      </c>
      <c r="AQ25" s="56">
        <f>Table1[[#This Row],[Asistencia 2o Corte]]*0.3+AVERAGE(Table1[[#This Row],[Tarea:Introducción a 3DSlicer (Semana 8) (Real)]:[Tarea:Segmentación Manual y Semi-Automática (Semana 10) (Real)]])*0.7</f>
        <v>3.0688117037483429</v>
      </c>
      <c r="AR25" s="56"/>
      <c r="AS25" s="56"/>
      <c r="AT25" s="56" t="s">
        <v>293</v>
      </c>
      <c r="AU25" s="61">
        <v>3.712962962962963E-2</v>
      </c>
      <c r="AV25" s="56">
        <f>IF(AU25/$AV$2&lt;=1.01,AU25/$AV$2,0.6)</f>
        <v>1</v>
      </c>
      <c r="AW25" s="61">
        <v>2.255787037037037E-2</v>
      </c>
      <c r="AX25" s="56">
        <f>IF(AW25/$AX$2&lt;=1.01,AW25/$AX$2,0.6)</f>
        <v>0.69088975540588438</v>
      </c>
      <c r="AY25" s="61">
        <v>0</v>
      </c>
      <c r="AZ25" s="56">
        <f>IF(AY25/$AZ$2&lt;=1.01,AY25/$AZ$2,0.6)</f>
        <v>0</v>
      </c>
      <c r="BA25" s="61">
        <v>3.4074074074074076E-2</v>
      </c>
      <c r="BB25" s="56">
        <f>IF(BA25/$BB$2&lt;=1.01,BA25/$BB$2,0.6)</f>
        <v>1.000339789330615</v>
      </c>
      <c r="BC25" s="56"/>
      <c r="BD25" s="56" t="s">
        <v>319</v>
      </c>
      <c r="BE25" s="56"/>
      <c r="BF25" s="56" t="s">
        <v>344</v>
      </c>
      <c r="BG25" s="62" t="s">
        <v>338</v>
      </c>
      <c r="BH25" s="62">
        <f>AVERAGE(AV25,AX25,AZ25,BB25)*5</f>
        <v>3.3640369309206242</v>
      </c>
      <c r="BI25" s="56">
        <v>4.4000000000000004</v>
      </c>
      <c r="BJ25" s="56">
        <v>3.5</v>
      </c>
      <c r="BK25" s="56">
        <v>4.3</v>
      </c>
      <c r="BL25" s="56">
        <v>3.8</v>
      </c>
      <c r="BM25" s="56">
        <v>0</v>
      </c>
      <c r="BN25" s="56">
        <f>AVERAGE(Table1[[#This Row],[Tarea:Impresión 3D (Semana 13) (Real)]:[Tarea:Evaluación Final Sincrónica (Semana 17) (Real)]])*0.7+Table1[[#This Row],[nota asistencia]]*0.3</f>
        <v>3.2492110792761872</v>
      </c>
      <c r="BO25" s="56">
        <f t="shared" si="0"/>
        <v>2.9805474467907835</v>
      </c>
    </row>
    <row r="26" spans="1:67" x14ac:dyDescent="0.25">
      <c r="A26" s="37">
        <v>25</v>
      </c>
      <c r="B26" s="37" t="s">
        <v>3</v>
      </c>
      <c r="C26" s="37" t="s">
        <v>101</v>
      </c>
      <c r="D26" s="37">
        <v>1076904274</v>
      </c>
      <c r="E26" s="37" t="s">
        <v>4</v>
      </c>
      <c r="F26" s="47">
        <v>1.7430555555555557E-2</v>
      </c>
      <c r="G26" s="52">
        <f>IF(F26/$G$2&lt;=1.001,F26/$G$2,0.6)</f>
        <v>0.99933642999336436</v>
      </c>
      <c r="H26" s="47">
        <v>3.9814814814814817E-2</v>
      </c>
      <c r="I26" s="52">
        <f>IF(H26/$I$2&lt;=1.001,H26/$I$2,0.6)</f>
        <v>1.0008728542333429</v>
      </c>
      <c r="J26" s="47">
        <v>3.5451388888888886E-2</v>
      </c>
      <c r="K26" s="52">
        <f>IF(J26/$K$2&lt;=1.001,J26/$K$2,0.6)</f>
        <v>0.98615582743077912</v>
      </c>
      <c r="L26" s="47">
        <v>1.4166666666666666E-2</v>
      </c>
      <c r="M26" s="52">
        <f>IF(L26/$M$2&lt;=1.001,L26/$M$2,0.6)</f>
        <v>0.62321792260692466</v>
      </c>
      <c r="N26" s="46">
        <v>4.6666666666666669E-2</v>
      </c>
      <c r="O26" s="52">
        <f>IF(N26/$O$2&lt;=1.001,N26/$O$2,0.6)</f>
        <v>1.0002480774001488</v>
      </c>
      <c r="P26" s="46">
        <v>4.3159722222222224E-2</v>
      </c>
      <c r="Q26" s="52">
        <f>IF(P26/$Q$2&lt;=1.001,P26/$Q$2,0.6)</f>
        <v>0.99892847575676402</v>
      </c>
      <c r="R26" s="53">
        <f>AVERAGE(G26,I26,K26,M26,Table1[[#This Row],[%Conexión5]],Table1[[#This Row],[%Conexión6]])*5</f>
        <v>4.6739663228511033</v>
      </c>
      <c r="S26" s="54">
        <v>6</v>
      </c>
      <c r="T26" s="53" t="str" cm="1">
        <f t="array" ref="T26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"Caballo" en el lenguaje de señas colombiano</v>
      </c>
      <c r="U26" s="55">
        <v>4.5</v>
      </c>
      <c r="V26" s="55">
        <v>4</v>
      </c>
      <c r="W26" s="55">
        <v>5</v>
      </c>
      <c r="X26" s="55">
        <v>3.3</v>
      </c>
      <c r="Y26" s="55">
        <v>1</v>
      </c>
      <c r="Z26" s="55">
        <v>3.5</v>
      </c>
      <c r="AA26" s="56">
        <f>AVERAGE(Table1[[#This Row],[Operaciones sobre piezas (Semana 2) ]:[Escaneo de partes anatómicas (Semana 6) ]])*0.7+Table1[[#This Row],[Asistencia]]*0.3</f>
        <v>3.7541898968553307</v>
      </c>
      <c r="AB26" s="46">
        <v>0</v>
      </c>
      <c r="AC26" s="52">
        <f>IF(AB26/$AC$2&lt;=1.01,AB26/$AC$2,0.6)</f>
        <v>0</v>
      </c>
      <c r="AD26" s="46">
        <v>0</v>
      </c>
      <c r="AE26" s="52">
        <f>IF(AD26/$AE$2&lt;=1.01,AD26/$AE$2,0.6)</f>
        <v>0</v>
      </c>
      <c r="AF26" s="46">
        <v>3.8368055555555558E-2</v>
      </c>
      <c r="AG26" s="52">
        <v>1</v>
      </c>
      <c r="AH26" s="46">
        <v>1.4722222222222222E-2</v>
      </c>
      <c r="AI26" s="52">
        <f>IF(AH26/$AI$2&lt;=1.01,AH26/$AI$2,0.6)</f>
        <v>1</v>
      </c>
      <c r="AJ26" s="46">
        <v>3.5543981481481482E-2</v>
      </c>
      <c r="AK26" s="52">
        <f>IF(AJ26/$AK$2&lt;=1.01,AJ26/$AK$2,0.6)</f>
        <v>0.98936855670103097</v>
      </c>
      <c r="AL26" s="47">
        <v>1.0462962962962962E-2</v>
      </c>
      <c r="AM26" s="52">
        <f>IF(AL26/$AM$2&lt;=1.01,AL26/$AM$2,0.6)</f>
        <v>0.34890003859513702</v>
      </c>
      <c r="AN26" s="53">
        <f>AVERAGE(AC26,AE26,AG26,AI26,AK26,AM26)*5</f>
        <v>2.7818904960801398</v>
      </c>
      <c r="AO26" s="56">
        <v>5</v>
      </c>
      <c r="AP26" s="56">
        <v>0</v>
      </c>
      <c r="AQ26" s="56">
        <f>Table1[[#This Row],[Asistencia 2o Corte]]*0.3+AVERAGE(Table1[[#This Row],[Tarea:Introducción a 3DSlicer (Semana 8) (Real)]:[Tarea:Segmentación Manual y Semi-Automática (Semana 10) (Real)]])*0.7</f>
        <v>2.5845671488240418</v>
      </c>
      <c r="AR26" s="56"/>
      <c r="AS26" s="56"/>
      <c r="AT26" s="56"/>
      <c r="AU26" s="61">
        <v>3.712962962962963E-2</v>
      </c>
      <c r="AV26" s="56">
        <f>IF(AU26/$AV$2&lt;=1.01,AU26/$AV$2,0.6)</f>
        <v>1</v>
      </c>
      <c r="AW26" s="61">
        <v>3.2615740740740744E-2</v>
      </c>
      <c r="AX26" s="56">
        <f>IF(AW26/$AX$2&lt;=1.01,AW26/$AX$2,0.6)</f>
        <v>0.99893654732364412</v>
      </c>
      <c r="AY26" s="61">
        <v>3.5185185185185187E-2</v>
      </c>
      <c r="AZ26" s="56">
        <f>IF(AY26/$AZ$2&lt;=1.01,AY26/$AZ$2,0.6)</f>
        <v>0.96784463546641208</v>
      </c>
      <c r="BA26" s="61">
        <v>2.6956018518518518E-2</v>
      </c>
      <c r="BB26" s="56">
        <f>IF(BA26/$BB$2&lt;=1.01,BA26/$BB$2,0.6)</f>
        <v>0.79136935100237848</v>
      </c>
      <c r="BC26" s="56"/>
      <c r="BD26" s="56"/>
      <c r="BE26" s="56"/>
      <c r="BF26" s="56" t="s">
        <v>339</v>
      </c>
      <c r="BG26" s="56"/>
      <c r="BH26" s="56">
        <f>AVERAGE(AV26,AX26,AZ26,BB26)*5</f>
        <v>4.6976881672405435</v>
      </c>
      <c r="BI26" s="56">
        <v>5</v>
      </c>
      <c r="BJ26" s="56">
        <v>0</v>
      </c>
      <c r="BK26" s="56">
        <v>0</v>
      </c>
      <c r="BL26" s="56">
        <v>2.8</v>
      </c>
      <c r="BM26" s="56">
        <v>3.6</v>
      </c>
      <c r="BN26" s="56">
        <f>AVERAGE(Table1[[#This Row],[Tarea:Impresión 3D (Semana 13) (Real)]:[Tarea:Evaluación Final Sincrónica (Semana 17) (Real)]])*0.7+Table1[[#This Row],[nota asistencia]]*0.3</f>
        <v>3.0053064501721631</v>
      </c>
      <c r="BO26" s="56">
        <f t="shared" si="0"/>
        <v>3.114687831950512</v>
      </c>
    </row>
    <row r="27" spans="1:67" x14ac:dyDescent="0.25">
      <c r="A27" s="37">
        <v>26</v>
      </c>
      <c r="B27" s="37" t="s">
        <v>18</v>
      </c>
      <c r="C27" s="37" t="s">
        <v>102</v>
      </c>
      <c r="D27" s="37">
        <v>1006343564</v>
      </c>
      <c r="E27" s="37" t="s">
        <v>19</v>
      </c>
      <c r="F27" s="47">
        <v>1.7337962962962961E-2</v>
      </c>
      <c r="G27" s="52">
        <f>IF(F27/$G$2&lt;=1.001,F27/$G$2,0.6)</f>
        <v>0.99402786994027859</v>
      </c>
      <c r="H27" s="47">
        <v>3.9814814814814817E-2</v>
      </c>
      <c r="I27" s="52">
        <f>IF(H27/$I$2&lt;=1.001,H27/$I$2,0.6)</f>
        <v>1.0008728542333429</v>
      </c>
      <c r="J27" s="47">
        <v>3.5960648148148151E-2</v>
      </c>
      <c r="K27" s="52">
        <f>IF(J27/$K$2&lt;=1.001,J27/$K$2,0.6)</f>
        <v>1.00032195750161</v>
      </c>
      <c r="L27" s="47">
        <v>2.2731481481481481E-2</v>
      </c>
      <c r="M27" s="52">
        <f>IF(L27/$M$2&lt;=1.001,L27/$M$2,0.6)</f>
        <v>1</v>
      </c>
      <c r="N27" s="46">
        <v>2.9768518518518517E-2</v>
      </c>
      <c r="O27" s="52">
        <f>IF(N27/$O$2&lt;=1.001,N27/$O$2,0.6)</f>
        <v>0.63805507318283294</v>
      </c>
      <c r="P27" s="46">
        <v>4.1909722222222223E-2</v>
      </c>
      <c r="Q27" s="52">
        <f>IF(P27/$Q$2&lt;=1.001,P27/$Q$2,0.6)</f>
        <v>0.96999732118939197</v>
      </c>
      <c r="R27" s="53">
        <f>AVERAGE(G27,I27,K27,M27,Table1[[#This Row],[%Conexión5]],Table1[[#This Row],[%Conexión6]])*5</f>
        <v>4.6693958967062139</v>
      </c>
      <c r="S27" s="54">
        <v>3</v>
      </c>
      <c r="T27" s="53" t="str" cm="1">
        <f t="array" ref="T27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"Oveja" en el lenguaje de señas colombiano</v>
      </c>
      <c r="U27" s="55">
        <v>5</v>
      </c>
      <c r="V27" s="55">
        <v>4.5999999999999996</v>
      </c>
      <c r="W27" s="55">
        <v>4</v>
      </c>
      <c r="X27" s="55">
        <v>3.3</v>
      </c>
      <c r="Y27" s="55">
        <v>5</v>
      </c>
      <c r="Z27" s="55">
        <v>4.5</v>
      </c>
      <c r="AA27" s="56">
        <f>AVERAGE(Table1[[#This Row],[Operaciones sobre piezas (Semana 2) ]:[Escaneo de partes anatómicas (Semana 6) ]])*0.7+Table1[[#This Row],[Asistencia]]*0.3</f>
        <v>4.3968187690118636</v>
      </c>
      <c r="AB27" s="46">
        <v>3.8124999999999999E-2</v>
      </c>
      <c r="AC27" s="52">
        <f>IF(AB27/$AC$2&lt;=1.01,AB27/$AC$2,0.6)</f>
        <v>0.9263217097862767</v>
      </c>
      <c r="AD27" s="46">
        <v>3.5486111111111114E-2</v>
      </c>
      <c r="AE27" s="52">
        <f>IF(AD27/$AE$2&lt;=1.01,AD27/$AE$2,0.6)</f>
        <v>0.94542090656799271</v>
      </c>
      <c r="AF27" s="46">
        <v>3.8368055555555558E-2</v>
      </c>
      <c r="AG27" s="52">
        <v>1</v>
      </c>
      <c r="AH27" s="46">
        <v>1.4386574074074074E-2</v>
      </c>
      <c r="AI27" s="52">
        <f>IF(AH27/$AI$2&lt;=1.01,AH27/$AI$2,0.6)</f>
        <v>0.97720125786163525</v>
      </c>
      <c r="AJ27" s="46">
        <v>3.5925925925925924E-2</v>
      </c>
      <c r="AK27" s="52">
        <f>IF(AJ27/$AK$2&lt;=1.01,AJ27/$AK$2,0.6)</f>
        <v>1</v>
      </c>
      <c r="AL27" s="47">
        <v>1.7476851851851851E-2</v>
      </c>
      <c r="AM27" s="52">
        <f>IF(AL27/$AM$2&lt;=1.01,AL27/$AM$2,0.6)</f>
        <v>0.5827865688923195</v>
      </c>
      <c r="AN27" s="53">
        <f>AVERAGE(AC27,AE27,AG27,AI27,AK27,AM27)*5</f>
        <v>4.5264420359235196</v>
      </c>
      <c r="AO27" s="56">
        <v>3.9</v>
      </c>
      <c r="AP27" s="56">
        <v>2.2999999999999998</v>
      </c>
      <c r="AQ27" s="56">
        <f>Table1[[#This Row],[Asistencia 2o Corte]]*0.3+AVERAGE(Table1[[#This Row],[Tarea:Introducción a 3DSlicer (Semana 8) (Real)]:[Tarea:Segmentación Manual y Semi-Automática (Semana 10) (Real)]])*0.7</f>
        <v>3.5279326107770554</v>
      </c>
      <c r="AR27" s="56"/>
      <c r="AS27" s="56"/>
      <c r="AT27" s="56"/>
      <c r="AU27" s="61">
        <v>3.712962962962963E-2</v>
      </c>
      <c r="AV27" s="56">
        <f>IF(AU27/$AV$2&lt;=1.01,AU27/$AV$2,0.6)</f>
        <v>1</v>
      </c>
      <c r="AW27" s="61">
        <v>3.2650462962962964E-2</v>
      </c>
      <c r="AX27" s="56">
        <f>IF(AW27/$AX$2&lt;=1.01,AW27/$AX$2,0.6)</f>
        <v>1</v>
      </c>
      <c r="AY27" s="61">
        <v>1.5185185185185185E-2</v>
      </c>
      <c r="AZ27" s="56">
        <f>IF(AY27/$AZ$2&lt;=1.01,AY27/$AZ$2,0.6)</f>
        <v>0.41770136899076726</v>
      </c>
      <c r="BA27" s="61">
        <v>3.4074074074074076E-2</v>
      </c>
      <c r="BB27" s="56">
        <f>IF(BA27/$BB$2&lt;=1.01,BA27/$BB$2,0.6)</f>
        <v>1.000339789330615</v>
      </c>
      <c r="BC27" s="56"/>
      <c r="BD27" s="56"/>
      <c r="BE27" s="56"/>
      <c r="BF27" s="56" t="s">
        <v>345</v>
      </c>
      <c r="BG27" s="56"/>
      <c r="BH27" s="56">
        <f>AVERAGE(AV27,AX27,AZ27,BB27)*5</f>
        <v>4.2725514479017281</v>
      </c>
      <c r="BI27" s="56">
        <v>5</v>
      </c>
      <c r="BJ27" s="56">
        <v>4.7</v>
      </c>
      <c r="BK27" s="56">
        <v>4.8</v>
      </c>
      <c r="BL27" s="56">
        <v>4.3</v>
      </c>
      <c r="BM27" s="56">
        <v>3.8</v>
      </c>
      <c r="BN27" s="56">
        <f>AVERAGE(Table1[[#This Row],[Tarea:Impresión 3D (Semana 13) (Real)]:[Tarea:Evaluación Final Sincrónica (Semana 17) (Real)]])*0.7+Table1[[#This Row],[nota asistencia]]*0.3</f>
        <v>4.4457654343705189</v>
      </c>
      <c r="BO27" s="56">
        <f t="shared" si="0"/>
        <v>4.1235056047198126</v>
      </c>
    </row>
    <row r="28" spans="1:67" x14ac:dyDescent="0.25">
      <c r="A28" s="37">
        <v>27</v>
      </c>
      <c r="B28" s="37" t="s">
        <v>10</v>
      </c>
      <c r="C28" s="37" t="s">
        <v>97</v>
      </c>
      <c r="D28" s="37">
        <v>1107839506</v>
      </c>
      <c r="E28" s="37" t="s">
        <v>11</v>
      </c>
      <c r="F28" s="47">
        <v>1.744212962962963E-2</v>
      </c>
      <c r="G28" s="52">
        <f>IF(F28/$G$2&lt;=1.001,F28/$G$2,0.6)</f>
        <v>1</v>
      </c>
      <c r="H28" s="47">
        <v>3.9270833333333331E-2</v>
      </c>
      <c r="I28" s="52">
        <f>IF(H28/$I$2&lt;=1.001,H28/$I$2,0.6)</f>
        <v>0.98719813791096878</v>
      </c>
      <c r="J28" s="47">
        <v>3.591435185185185E-2</v>
      </c>
      <c r="K28" s="52">
        <f>IF(J28/$K$2&lt;=1.001,J28/$K$2,0.6)</f>
        <v>0.99903412749517073</v>
      </c>
      <c r="L28" s="47">
        <v>1.9351851851851853E-2</v>
      </c>
      <c r="M28" s="52">
        <f>IF(L28/$M$2&lt;=1.001,L28/$M$2,0.6)</f>
        <v>0.85132382892057035</v>
      </c>
      <c r="N28" s="46">
        <v>4.2256944444444444E-2</v>
      </c>
      <c r="O28" s="52">
        <f>IF(N28/$O$2&lt;=1.001,N28/$O$2,0.6)</f>
        <v>0.9057305879434383</v>
      </c>
      <c r="P28" s="46">
        <v>3.9687500000000001E-2</v>
      </c>
      <c r="Q28" s="52">
        <f>IF(P28/$Q$2&lt;=1.001,P28/$Q$2,0.6)</f>
        <v>0.91856415751406373</v>
      </c>
      <c r="R28" s="53">
        <f>AVERAGE(G28,I28,K28,M28,Table1[[#This Row],[%Conexión5]],Table1[[#This Row],[%Conexión6]])*5</f>
        <v>4.71820903315351</v>
      </c>
      <c r="S28" s="54">
        <v>6</v>
      </c>
      <c r="T28" s="53" t="str" cm="1">
        <f t="array" ref="T28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"Caballo" en el lenguaje de señas colombiano</v>
      </c>
      <c r="U28" s="55">
        <v>4.5999999999999996</v>
      </c>
      <c r="V28" s="55">
        <v>4.7</v>
      </c>
      <c r="W28" s="55">
        <v>4.4000000000000004</v>
      </c>
      <c r="X28" s="55">
        <v>3.3</v>
      </c>
      <c r="Y28" s="55">
        <v>5</v>
      </c>
      <c r="Z28" s="55">
        <v>3.5</v>
      </c>
      <c r="AA28" s="56">
        <f>AVERAGE(Table1[[#This Row],[Operaciones sobre piezas (Semana 2) ]:[Escaneo de partes anatómicas (Semana 6) ]])*0.7+Table1[[#This Row],[Asistencia]]*0.3</f>
        <v>4.341462709946053</v>
      </c>
      <c r="AB28" s="46">
        <v>0</v>
      </c>
      <c r="AC28" s="52">
        <f>IF(AB28/$AC$2&lt;=1.01,AB28/$AC$2,0.6)</f>
        <v>0</v>
      </c>
      <c r="AD28" s="46">
        <v>3.712962962962963E-2</v>
      </c>
      <c r="AE28" s="52">
        <f>IF(AD28/$AE$2&lt;=1.01,AD28/$AE$2,0.6)</f>
        <v>0.98920752389762578</v>
      </c>
      <c r="AF28" s="46">
        <v>0</v>
      </c>
      <c r="AG28" s="52">
        <f>IF(AF28/$AG$2&lt;=1.01,AF28/$AG$2,0.6)</f>
        <v>0</v>
      </c>
      <c r="AH28" s="46">
        <v>1.4722222222222222E-2</v>
      </c>
      <c r="AI28" s="52">
        <f>IF(AH28/$AI$2&lt;=1.01,AH28/$AI$2,0.6)</f>
        <v>1</v>
      </c>
      <c r="AJ28" s="46">
        <v>3.4907407407407408E-2</v>
      </c>
      <c r="AK28" s="52">
        <f>IF(AJ28/$AK$2&lt;=1.01,AJ28/$AK$2,0.6)</f>
        <v>0.97164948453608257</v>
      </c>
      <c r="AL28" s="47">
        <v>1.0462962962962962E-2</v>
      </c>
      <c r="AM28" s="52">
        <f>IF(AL28/$AM$2&lt;=1.01,AL28/$AM$2,0.6)</f>
        <v>0.34890003859513702</v>
      </c>
      <c r="AN28" s="53">
        <f>AVERAGE(AC28,AE28,AG28,AI28,AK28,AM28)*5</f>
        <v>2.7581308725240379</v>
      </c>
      <c r="AO28" s="56">
        <v>5</v>
      </c>
      <c r="AP28" s="56">
        <v>3</v>
      </c>
      <c r="AQ28" s="56">
        <f>Table1[[#This Row],[Asistencia 2o Corte]]*0.3+AVERAGE(Table1[[#This Row],[Tarea:Introducción a 3DSlicer (Semana 8) (Real)]:[Tarea:Segmentación Manual y Semi-Automática (Semana 10) (Real)]])*0.7</f>
        <v>3.6274392617572113</v>
      </c>
      <c r="AR28" s="56"/>
      <c r="AS28" s="56" t="s">
        <v>275</v>
      </c>
      <c r="AT28" s="56"/>
      <c r="AU28" s="61">
        <v>3.712962962962963E-2</v>
      </c>
      <c r="AV28" s="56">
        <f>IF(AU28/$AV$2&lt;=1.01,AU28/$AV$2,0.6)</f>
        <v>1</v>
      </c>
      <c r="AW28" s="61">
        <v>2.8912037037037038E-2</v>
      </c>
      <c r="AX28" s="56">
        <f>IF(AW28/$AX$2&lt;=1.01,AW28/$AX$2,0.6)</f>
        <v>0.8855015951790145</v>
      </c>
      <c r="AY28" s="61">
        <v>3.6354166666666667E-2</v>
      </c>
      <c r="AZ28" s="56">
        <f>IF(AY28/$AZ$2&lt;=1.01,AY28/$AZ$2,0.6)</f>
        <v>1</v>
      </c>
      <c r="BA28" s="61">
        <v>3.1759259259259258E-2</v>
      </c>
      <c r="BB28" s="56">
        <f>IF(BA28/$BB$2&lt;=1.01,BA28/$BB$2,0.6)</f>
        <v>0.93238192320761115</v>
      </c>
      <c r="BC28" s="56" t="s">
        <v>311</v>
      </c>
      <c r="BD28" s="56" t="s">
        <v>323</v>
      </c>
      <c r="BE28" s="62" t="s">
        <v>329</v>
      </c>
      <c r="BF28" s="56" t="s">
        <v>337</v>
      </c>
      <c r="BG28" s="56"/>
      <c r="BH28" s="56">
        <f>AVERAGE(AV28,AX28,AZ28,BB28)*5</f>
        <v>4.7723543979832819</v>
      </c>
      <c r="BI28" s="56">
        <v>5</v>
      </c>
      <c r="BJ28" s="56">
        <v>0</v>
      </c>
      <c r="BK28" s="56">
        <v>0</v>
      </c>
      <c r="BL28" s="56">
        <v>2.8</v>
      </c>
      <c r="BM28" s="56">
        <v>3</v>
      </c>
      <c r="BN28" s="56">
        <f>AVERAGE(Table1[[#This Row],[Tarea:Impresión 3D (Semana 13) (Real)]:[Tarea:Evaluación Final Sincrónica (Semana 17) (Real)]])*0.7+Table1[[#This Row],[nota asistencia]]*0.3</f>
        <v>2.9437063193949848</v>
      </c>
      <c r="BO28" s="56">
        <f t="shared" si="0"/>
        <v>3.6375360970327493</v>
      </c>
    </row>
    <row r="29" spans="1:67" x14ac:dyDescent="0.25">
      <c r="A29" s="37">
        <v>28</v>
      </c>
      <c r="B29" s="37" t="s">
        <v>50</v>
      </c>
      <c r="C29" s="37" t="s">
        <v>103</v>
      </c>
      <c r="D29" s="37">
        <v>1112389849</v>
      </c>
      <c r="E29" s="37" t="s">
        <v>51</v>
      </c>
      <c r="F29" s="47">
        <v>4.3043981481481482E-2</v>
      </c>
      <c r="G29" s="52">
        <f>IF(F29/$G$2&lt;=1.001,F29/$G$2,0.6)</f>
        <v>0.6</v>
      </c>
      <c r="H29" s="47">
        <v>3.923611111111111E-2</v>
      </c>
      <c r="I29" s="52">
        <f>IF(H29/$I$2&lt;=1.001,H29/$I$2,0.6)</f>
        <v>0.98632528367762573</v>
      </c>
      <c r="J29" s="47">
        <v>3.591435185185185E-2</v>
      </c>
      <c r="K29" s="52">
        <f>IF(J29/$K$2&lt;=1.001,J29/$K$2,0.6)</f>
        <v>0.99903412749517073</v>
      </c>
      <c r="L29" s="47">
        <v>2.2731481481481481E-2</v>
      </c>
      <c r="M29" s="52">
        <f>IF(L29/$M$2&lt;=1.001,L29/$M$2,0.6)</f>
        <v>1</v>
      </c>
      <c r="N29" s="46">
        <v>4.659722222222222E-2</v>
      </c>
      <c r="O29" s="52">
        <f>IF(N29/$O$2&lt;=1.001,N29/$O$2,0.6)</f>
        <v>0.99875961299925564</v>
      </c>
      <c r="P29" s="46">
        <v>4.189814814814815E-2</v>
      </c>
      <c r="Q29" s="52">
        <f>IF(P29/$Q$2&lt;=1.001,P29/$Q$2,0.6)</f>
        <v>0.96972944012858298</v>
      </c>
      <c r="R29" s="53">
        <f>AVERAGE(G29,I29,K29,M29,Table1[[#This Row],[%Conexión5]],Table1[[#This Row],[%Conexión6]])*5</f>
        <v>4.6282070535838633</v>
      </c>
      <c r="S29" s="54">
        <v>6</v>
      </c>
      <c r="T29" s="53" t="str" cm="1">
        <f t="array" ref="T29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"Caballo" en el lenguaje de señas colombiano</v>
      </c>
      <c r="U29" s="55">
        <v>5</v>
      </c>
      <c r="V29" s="55">
        <v>4.5999999999999996</v>
      </c>
      <c r="W29" s="55">
        <v>4.8</v>
      </c>
      <c r="X29" s="55">
        <v>3.3</v>
      </c>
      <c r="Y29" s="55">
        <v>5</v>
      </c>
      <c r="Z29" s="55">
        <v>3.5</v>
      </c>
      <c r="AA29" s="56">
        <f>AVERAGE(Table1[[#This Row],[Operaciones sobre piezas (Semana 2) ]:[Escaneo de partes anatómicas (Semana 6) ]])*0.7+Table1[[#This Row],[Asistencia]]*0.3</f>
        <v>4.3564621160751589</v>
      </c>
      <c r="AB29" s="46">
        <v>3.7615740740740741E-2</v>
      </c>
      <c r="AC29" s="52">
        <f>IF(AB29/$AC$2&lt;=1.01,AB29/$AC$2,0.6)</f>
        <v>0.91394825646794153</v>
      </c>
      <c r="AD29" s="46">
        <v>3.5624999999999997E-2</v>
      </c>
      <c r="AE29" s="52">
        <f>IF(AD29/$AE$2&lt;=1.01,AD29/$AE$2,0.6)</f>
        <v>0.94912118408880664</v>
      </c>
      <c r="AF29" s="46">
        <v>3.6076388888888887E-2</v>
      </c>
      <c r="AG29" s="52">
        <f>IF(AF29/$AG$2&lt;=1.01,AF29/$AG$2,0.6)</f>
        <v>0.96114708603145238</v>
      </c>
      <c r="AH29" s="46">
        <v>1.4722222222222222E-2</v>
      </c>
      <c r="AI29" s="52">
        <f>IF(AH29/$AI$2&lt;=1.01,AH29/$AI$2,0.6)</f>
        <v>1</v>
      </c>
      <c r="AJ29" s="46">
        <v>3.1932870370370368E-2</v>
      </c>
      <c r="AK29" s="52">
        <f>IF(AJ29/$AK$2&lt;=1.01,AJ29/$AK$2,0.6)</f>
        <v>0.88885309278350511</v>
      </c>
      <c r="AL29" s="47">
        <v>1.0462962962962962E-2</v>
      </c>
      <c r="AM29" s="52">
        <f>IF(AL29/$AM$2&lt;=1.01,AL29/$AM$2,0.6)</f>
        <v>0.34890003859513702</v>
      </c>
      <c r="AN29" s="53">
        <f>AVERAGE(AC29,AE29,AG29,AI29,AK29,AM29)*5</f>
        <v>4.2183080483057029</v>
      </c>
      <c r="AO29" s="56">
        <v>0</v>
      </c>
      <c r="AP29" s="56">
        <v>3.4</v>
      </c>
      <c r="AQ29" s="56">
        <f>Table1[[#This Row],[Asistencia 2o Corte]]*0.3+AVERAGE(Table1[[#This Row],[Tarea:Introducción a 3DSlicer (Semana 8) (Real)]:[Tarea:Segmentación Manual y Semi-Automática (Semana 10) (Real)]])*0.7</f>
        <v>2.4554924144917107</v>
      </c>
      <c r="AR29" s="56"/>
      <c r="AS29" s="56"/>
      <c r="AT29" s="56"/>
      <c r="AU29" s="61">
        <v>3.712962962962963E-2</v>
      </c>
      <c r="AV29" s="56">
        <f>IF(AU29/$AV$2&lt;=1.01,AU29/$AV$2,0.6)</f>
        <v>1</v>
      </c>
      <c r="AW29" s="61">
        <v>3.2581018518518516E-2</v>
      </c>
      <c r="AX29" s="56">
        <f>IF(AW29/$AX$2&lt;=1.01,AW29/$AX$2,0.6)</f>
        <v>0.99787309464728813</v>
      </c>
      <c r="AY29" s="61">
        <v>3.2048611111111111E-2</v>
      </c>
      <c r="AZ29" s="56">
        <f>IF(AY29/$AZ$2&lt;=1.01,AY29/$AZ$2,0.6)</f>
        <v>0.88156638013371535</v>
      </c>
      <c r="BA29" s="61">
        <v>3.4074074074074076E-2</v>
      </c>
      <c r="BB29" s="56">
        <f>IF(BA29/$BB$2&lt;=1.01,BA29/$BB$2,0.6)</f>
        <v>1.000339789330615</v>
      </c>
      <c r="BC29" s="56"/>
      <c r="BD29" s="56" t="s">
        <v>320</v>
      </c>
      <c r="BE29" s="56"/>
      <c r="BF29" s="56" t="s">
        <v>338</v>
      </c>
      <c r="BG29" s="62" t="s">
        <v>344</v>
      </c>
      <c r="BH29" s="62">
        <f>AVERAGE(AV29,AX29,AZ29,BB29)*5</f>
        <v>4.8497240801395227</v>
      </c>
      <c r="BI29" s="56">
        <v>5</v>
      </c>
      <c r="BJ29" s="56">
        <v>0</v>
      </c>
      <c r="BK29" s="56">
        <v>0</v>
      </c>
      <c r="BL29" s="56">
        <v>2.8</v>
      </c>
      <c r="BM29" s="56">
        <v>0</v>
      </c>
      <c r="BN29" s="56">
        <f>AVERAGE(Table1[[#This Row],[Tarea:Impresión 3D (Semana 13) (Real)]:[Tarea:Evaluación Final Sincrónica (Semana 17) (Real)]])*0.7+Table1[[#This Row],[nota asistencia]]*0.3</f>
        <v>2.5469172240418567</v>
      </c>
      <c r="BO29" s="56">
        <f t="shared" si="0"/>
        <v>3.1196239182029086</v>
      </c>
    </row>
    <row r="30" spans="1:67" x14ac:dyDescent="0.25">
      <c r="A30" s="37">
        <v>30</v>
      </c>
      <c r="B30" s="58" t="s">
        <v>54</v>
      </c>
      <c r="C30" s="58" t="s">
        <v>105</v>
      </c>
      <c r="D30" s="37">
        <v>73265790</v>
      </c>
      <c r="E30" s="59" t="s">
        <v>58</v>
      </c>
      <c r="F30" s="47">
        <v>4.3611111111111114E-2</v>
      </c>
      <c r="G30" s="52">
        <f>IF(F30/$G$2&lt;=1.001,F30/$G$2,0.6)</f>
        <v>0.6</v>
      </c>
      <c r="H30" s="47">
        <v>3.9641203703703706E-2</v>
      </c>
      <c r="I30" s="52">
        <f>IF(H30/$I$2&lt;=1.001,H30/$I$2,0.6)</f>
        <v>0.99650858306662782</v>
      </c>
      <c r="J30" s="47">
        <v>3.5879629629629629E-2</v>
      </c>
      <c r="K30" s="52">
        <f>IF(J30/$K$2&lt;=1.001,J30/$K$2,0.6)</f>
        <v>0.99806825499034135</v>
      </c>
      <c r="L30" s="47">
        <v>2.1238425925925924E-2</v>
      </c>
      <c r="M30" s="52">
        <f>IF(L30/$M$2&lt;=1.001,L30/$M$2,0.6)</f>
        <v>0.93431771894093685</v>
      </c>
      <c r="N30" s="46">
        <v>4.659722222222222E-2</v>
      </c>
      <c r="O30" s="52">
        <f>IF(N30/$O$2&lt;=1.001,N30/$O$2,0.6)</f>
        <v>0.99875961299925564</v>
      </c>
      <c r="P30" s="46">
        <v>4.1886574074074076E-2</v>
      </c>
      <c r="Q30" s="52">
        <f>IF(P30/$Q$2&lt;=1.001,P30/$Q$2,0.6)</f>
        <v>0.96946155906777398</v>
      </c>
      <c r="R30" s="53">
        <f>AVERAGE(G30,I30,K30,M30,Table1[[#This Row],[%Conexión5]],Table1[[#This Row],[%Conexión6]])*5</f>
        <v>4.5809297742207793</v>
      </c>
      <c r="S30" s="54">
        <v>3</v>
      </c>
      <c r="T30" s="53" t="str" cm="1">
        <f t="array" ref="T30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"Oveja" en el lenguaje de señas colombiano</v>
      </c>
      <c r="U30" s="55">
        <v>4.9000000000000004</v>
      </c>
      <c r="V30" s="55">
        <v>3.9</v>
      </c>
      <c r="W30" s="55">
        <v>4.5</v>
      </c>
      <c r="X30" s="55">
        <v>5</v>
      </c>
      <c r="Y30" s="55">
        <v>5</v>
      </c>
      <c r="Z30" s="55">
        <v>4.5</v>
      </c>
      <c r="AA30" s="56">
        <f>AVERAGE(Table1[[#This Row],[Operaciones sobre piezas (Semana 2) ]:[Escaneo de partes anatómicas (Semana 6) ]])*0.7+Table1[[#This Row],[Asistencia]]*0.3</f>
        <v>4.5802789322662338</v>
      </c>
      <c r="AB30" s="46">
        <v>3.8425925925925926E-2</v>
      </c>
      <c r="AC30" s="52">
        <f>IF(AB30/$AC$2&lt;=1.01,AB30/$AC$2,0.6)</f>
        <v>0.93363329583802024</v>
      </c>
      <c r="AD30" s="46">
        <v>3.7256944444444447E-2</v>
      </c>
      <c r="AE30" s="52">
        <f>IF(AD30/$AE$2&lt;=1.01,AD30/$AE$2,0.6)</f>
        <v>0.99259944495837205</v>
      </c>
      <c r="AF30" s="46">
        <v>3.8368055555555558E-2</v>
      </c>
      <c r="AG30" s="52">
        <v>1</v>
      </c>
      <c r="AH30" s="46">
        <v>2.855324074074074E-2</v>
      </c>
      <c r="AI30" s="52">
        <v>1</v>
      </c>
      <c r="AJ30" s="46">
        <v>1.4675925925925926E-2</v>
      </c>
      <c r="AK30" s="52">
        <f>IF(AJ30/$AK$2&lt;=1.01,AJ30/$AK$2,0.6)</f>
        <v>0.40850515463917525</v>
      </c>
      <c r="AL30" s="47">
        <v>1.0462962962962962E-2</v>
      </c>
      <c r="AM30" s="52">
        <f>IF(AL30/$AM$2&lt;=1.01,AL30/$AM$2,0.6)</f>
        <v>0.34890003859513702</v>
      </c>
      <c r="AN30" s="53">
        <f>AVERAGE(AC30,AE30,AG30,AI30,AK30,AM30)*5</f>
        <v>3.9030316116922541</v>
      </c>
      <c r="AO30" s="56">
        <v>4.4000000000000004</v>
      </c>
      <c r="AP30" s="56">
        <v>3.8</v>
      </c>
      <c r="AQ30" s="56">
        <f>Table1[[#This Row],[Asistencia 2o Corte]]*0.3+AVERAGE(Table1[[#This Row],[Tarea:Introducción a 3DSlicer (Semana 8) (Real)]:[Tarea:Segmentación Manual y Semi-Automática (Semana 10) (Real)]])*0.7</f>
        <v>4.0409094835076758</v>
      </c>
      <c r="AR30" s="56"/>
      <c r="AS30" s="56"/>
      <c r="AT30" s="56"/>
      <c r="AU30" s="61">
        <v>0</v>
      </c>
      <c r="AV30" s="56">
        <f>IF(AU30/$AV$2&lt;=1.01,AU30/$AV$2,0.6)</f>
        <v>0</v>
      </c>
      <c r="AW30" s="61">
        <v>3.2650462962962964E-2</v>
      </c>
      <c r="AX30" s="56">
        <f>IF(AW30/$AX$2&lt;=1.01,AW30/$AX$2,0.6)</f>
        <v>1</v>
      </c>
      <c r="AY30" s="61">
        <v>0</v>
      </c>
      <c r="AZ30" s="56">
        <f>IF(AY30/$AZ$2&lt;=1.01,AY30/$AZ$2,0.6)</f>
        <v>0</v>
      </c>
      <c r="BA30" s="61">
        <v>1.9444444444444444E-3</v>
      </c>
      <c r="BB30" s="56">
        <f>IF(BA30/$BB$2&lt;=1.01,BA30/$BB$2,0.6)</f>
        <v>5.7084607543323132E-2</v>
      </c>
      <c r="BC30" s="56"/>
      <c r="BD30" s="56"/>
      <c r="BE30" s="56"/>
      <c r="BF30" s="56" t="s">
        <v>337</v>
      </c>
      <c r="BG30" s="62" t="s">
        <v>343</v>
      </c>
      <c r="BH30" s="62">
        <f>AVERAGE(AV30,AX30,AZ30,BB30)*5</f>
        <v>1.3213557594291538</v>
      </c>
      <c r="BI30" s="56">
        <v>5</v>
      </c>
      <c r="BJ30" s="56">
        <v>4.7</v>
      </c>
      <c r="BK30" s="56">
        <v>0</v>
      </c>
      <c r="BL30" s="56">
        <v>4.3</v>
      </c>
      <c r="BM30" s="56">
        <v>0</v>
      </c>
      <c r="BN30" s="56">
        <f>AVERAGE(Table1[[#This Row],[Tarea:Impresión 3D (Semana 13) (Real)]:[Tarea:Evaluación Final Sincrónica (Semana 17) (Real)]])*0.7+Table1[[#This Row],[nota asistencia]]*0.3</f>
        <v>2.3564067278287459</v>
      </c>
      <c r="BO30" s="56">
        <f t="shared" si="0"/>
        <v>3.6591983812008855</v>
      </c>
    </row>
    <row r="31" spans="1:67" x14ac:dyDescent="0.25">
      <c r="A31" s="37">
        <v>31</v>
      </c>
      <c r="B31" s="37" t="s">
        <v>5</v>
      </c>
      <c r="C31" s="37" t="s">
        <v>106</v>
      </c>
      <c r="D31" s="37">
        <v>1113362057</v>
      </c>
      <c r="E31" s="37" t="s">
        <v>6</v>
      </c>
      <c r="F31" s="47">
        <v>1.7326388888888888E-2</v>
      </c>
      <c r="G31" s="52">
        <f>IF(F31/$G$2&lt;=1.001,F31/$G$2,0.6)</f>
        <v>0.99336429993364284</v>
      </c>
      <c r="H31" s="47">
        <v>3.9212962962962963E-2</v>
      </c>
      <c r="I31" s="52">
        <f>IF(H31/$I$2&lt;=1.001,H31/$I$2,0.6)</f>
        <v>0.98574338085539703</v>
      </c>
      <c r="J31" s="47">
        <v>3.5960648148148151E-2</v>
      </c>
      <c r="K31" s="52">
        <f>IF(J31/$K$2&lt;=1.001,J31/$K$2,0.6)</f>
        <v>1.00032195750161</v>
      </c>
      <c r="L31" s="47">
        <v>2.2268518518518517E-2</v>
      </c>
      <c r="M31" s="52">
        <f>IF(L31/$M$2&lt;=1.001,L31/$M$2,0.6)</f>
        <v>0.97963340122199594</v>
      </c>
      <c r="N31" s="46">
        <v>4.6527777777777779E-2</v>
      </c>
      <c r="O31" s="52">
        <f>IF(N31/$O$2&lt;=1.001,N31/$O$2,0.6)</f>
        <v>0.99727114859836263</v>
      </c>
      <c r="P31" s="46">
        <v>3.2187500000000001E-2</v>
      </c>
      <c r="Q31" s="52">
        <f>IF(P31/$Q$2&lt;=1.001,P31/$Q$2,0.6)</f>
        <v>0.7449772301098313</v>
      </c>
      <c r="R31" s="53">
        <f>AVERAGE(G31,I31,K31,M31,Table1[[#This Row],[%Conexión5]],Table1[[#This Row],[%Conexión6]])*5</f>
        <v>4.7510928485173665</v>
      </c>
      <c r="S31" s="54">
        <v>7</v>
      </c>
      <c r="T31" s="53" t="str" cm="1">
        <f t="array" ref="T31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"Flor" en el lenguaje de señas colombiano</v>
      </c>
      <c r="U31" s="55">
        <v>4.9000000000000004</v>
      </c>
      <c r="V31" s="55">
        <v>4.9000000000000004</v>
      </c>
      <c r="W31" s="55">
        <v>4.8</v>
      </c>
      <c r="X31" s="55">
        <v>3.3</v>
      </c>
      <c r="Y31" s="55">
        <v>4.3</v>
      </c>
      <c r="Z31" s="55">
        <v>4.5</v>
      </c>
      <c r="AA31" s="56">
        <f>AVERAGE(Table1[[#This Row],[Operaciones sobre piezas (Semana 2) ]:[Escaneo de partes anatómicas (Semana 6) ]])*0.7+Table1[[#This Row],[Asistencia]]*0.3</f>
        <v>4.4773278545552095</v>
      </c>
      <c r="AB31" s="46">
        <v>3.8055555555555558E-2</v>
      </c>
      <c r="AC31" s="52">
        <f>IF(AB31/$AC$2&lt;=1.01,AB31/$AC$2,0.6)</f>
        <v>0.92463442069741286</v>
      </c>
      <c r="AD31" s="46">
        <v>1.3356481481481481E-2</v>
      </c>
      <c r="AE31" s="52">
        <f>IF(AD31/$AE$2&lt;=1.01,AD31/$AE$2,0.6)</f>
        <v>0.35584335491828556</v>
      </c>
      <c r="AF31" s="46">
        <v>2.5115740740740741E-2</v>
      </c>
      <c r="AG31" s="52">
        <f>IF(AF31/$AG$2&lt;=1.01,AF31/$AG$2,0.6)</f>
        <v>0.66913351834720947</v>
      </c>
      <c r="AH31" s="46">
        <v>1.2256944444444445E-2</v>
      </c>
      <c r="AI31" s="52">
        <f>IF(AH31/$AI$2&lt;=1.01,AH31/$AI$2,0.6)</f>
        <v>0.83254716981132082</v>
      </c>
      <c r="AJ31" s="46">
        <v>3.5925925925925924E-2</v>
      </c>
      <c r="AK31" s="52">
        <f>IF(AJ31/$AK$2&lt;=1.01,AJ31/$AK$2,0.6)</f>
        <v>1</v>
      </c>
      <c r="AL31" s="47">
        <v>1.7407407407407406E-2</v>
      </c>
      <c r="AM31" s="52">
        <f>IF(AL31/$AM$2&lt;=1.01,AL31/$AM$2,0.6)</f>
        <v>0.5804708606715554</v>
      </c>
      <c r="AN31" s="53">
        <f>AVERAGE(AC31,AE31,AG31,AI31,AK31,AM31)*5</f>
        <v>3.6355244370381534</v>
      </c>
      <c r="AO31" s="56">
        <v>5</v>
      </c>
      <c r="AP31" s="56">
        <v>3.4</v>
      </c>
      <c r="AQ31" s="56">
        <f>Table1[[#This Row],[Asistencia 2o Corte]]*0.3+AVERAGE(Table1[[#This Row],[Tarea:Introducción a 3DSlicer (Semana 8) (Real)]:[Tarea:Segmentación Manual y Semi-Automática (Semana 10) (Real)]])*0.7</f>
        <v>4.0306573311114455</v>
      </c>
      <c r="AR31" s="56"/>
      <c r="AS31" s="56"/>
      <c r="AT31" s="56" t="s">
        <v>295</v>
      </c>
      <c r="AU31" s="61">
        <v>2.8356481481481483E-2</v>
      </c>
      <c r="AV31" s="56">
        <f>IF(AU31/$AV$2&lt;=1.01,AU31/$AV$2,0.6)</f>
        <v>0.763715710723192</v>
      </c>
      <c r="AW31" s="61">
        <v>3.259259259259259E-2</v>
      </c>
      <c r="AX31" s="56">
        <f>IF(AW31/$AX$2&lt;=1.01,AW31/$AX$2,0.6)</f>
        <v>0.99822757887274005</v>
      </c>
      <c r="AY31" s="61">
        <v>2.8900462962962965E-2</v>
      </c>
      <c r="AZ31" s="56">
        <f>IF(AY31/$AZ$2&lt;=1.01,AY31/$AZ$2,0.6)</f>
        <v>0.79496975485514176</v>
      </c>
      <c r="BA31" s="61">
        <v>3.3240740740740737E-2</v>
      </c>
      <c r="BB31" s="56">
        <f>IF(BA31/$BB$2&lt;=1.01,BA31/$BB$2,0.6)</f>
        <v>0.97587495752633346</v>
      </c>
      <c r="BC31" s="56"/>
      <c r="BD31" s="56" t="s">
        <v>319</v>
      </c>
      <c r="BE31" s="56"/>
      <c r="BF31" s="56" t="s">
        <v>341</v>
      </c>
      <c r="BG31" s="56"/>
      <c r="BH31" s="56">
        <f>AVERAGE(AV31,AX31,AZ31,BB31)*5</f>
        <v>4.4159850024717588</v>
      </c>
      <c r="BI31" s="56">
        <v>4.7</v>
      </c>
      <c r="BJ31" s="56">
        <v>4.0999999999999996</v>
      </c>
      <c r="BK31" s="56">
        <v>4</v>
      </c>
      <c r="BL31" s="56">
        <v>4.5</v>
      </c>
      <c r="BM31" s="56">
        <v>3.6</v>
      </c>
      <c r="BN31" s="56">
        <f>AVERAGE(Table1[[#This Row],[Tarea:Impresión 3D (Semana 13) (Real)]:[Tarea:Evaluación Final Sincrónica (Semana 17) (Real)]])*0.7+Table1[[#This Row],[nota asistencia]]*0.3</f>
        <v>4.2507955007415275</v>
      </c>
      <c r="BO31" s="56">
        <f t="shared" si="0"/>
        <v>4.2529268954693942</v>
      </c>
    </row>
    <row r="32" spans="1:67" x14ac:dyDescent="0.25">
      <c r="A32" s="37">
        <v>32</v>
      </c>
      <c r="B32" s="37" t="s">
        <v>107</v>
      </c>
      <c r="C32" s="37" t="s">
        <v>88</v>
      </c>
      <c r="D32" s="37">
        <v>1036925847</v>
      </c>
      <c r="E32" s="37" t="s">
        <v>59</v>
      </c>
      <c r="F32" s="47">
        <v>0</v>
      </c>
      <c r="G32" s="52">
        <f>IF(F32/$G$2&lt;=1.001,F32/$G$2,0.6)</f>
        <v>0</v>
      </c>
      <c r="H32" s="47">
        <v>3.9178240740740743E-2</v>
      </c>
      <c r="I32" s="52">
        <f>IF(H32/$I$2&lt;=1.001,H32/$I$2,0.6)</f>
        <v>0.9848705266220541</v>
      </c>
      <c r="J32" s="47">
        <v>3.5844907407407409E-2</v>
      </c>
      <c r="K32" s="52">
        <f>IF(J32/$K$2&lt;=1.001,J32/$K$2,0.6)</f>
        <v>0.99710238248551208</v>
      </c>
      <c r="L32" s="47">
        <v>0</v>
      </c>
      <c r="M32" s="52">
        <f>IF(L32/$M$2&lt;=1.001,L32/$M$2,0.6)</f>
        <v>0</v>
      </c>
      <c r="N32" s="46">
        <v>3.7858796296296293E-2</v>
      </c>
      <c r="O32" s="52">
        <f>IF(N32/$O$2&lt;=1.001,N32/$O$2,0.6)</f>
        <v>0.81146117588687661</v>
      </c>
      <c r="P32" s="46">
        <v>3.1886574074074074E-2</v>
      </c>
      <c r="Q32" s="52">
        <f>IF(P32/$Q$2&lt;=1.001,P32/$Q$2,0.6)</f>
        <v>0.73801232252879723</v>
      </c>
      <c r="R32" s="53">
        <f>AVERAGE(G32,I32,K32,M32,Table1[[#This Row],[%Conexión5]],Table1[[#This Row],[%Conexión6]])*5</f>
        <v>2.9428720062693667</v>
      </c>
      <c r="S32" s="54">
        <v>1</v>
      </c>
      <c r="T32" s="53" t="str" cm="1">
        <f t="array" ref="T32">_xlfn.IFS(Table1[[#This Row],[Grupo]]=1,Sheet2!$B$1,Table1[[#This Row],[Grupo]]=2,Sheet2!$B$2,Table1[[#This Row],[Grupo]]=3,Sheet2!$B$3,Table1[[#This Row],[Grupo]]=4,Sheet2!$B$4,Table1[[#This Row],[Grupo]]=5,Sheet2!$B$5,Table1[[#This Row],[Grupo]]=6,Sheet2!$B$6,Table1[[#This Row],[Grupo]]=7,Sheet2!$B$7,Table1[[#This Row],[Grupo]]="","--")</f>
        <v>Gesto correspondiente a la palabra "Tortuga" en el lenguaje de señas colombiano</v>
      </c>
      <c r="U32" s="55">
        <v>0</v>
      </c>
      <c r="V32" s="55">
        <v>1.9</v>
      </c>
      <c r="W32" s="55">
        <v>1.8</v>
      </c>
      <c r="X32" s="55">
        <v>1.1000000000000001</v>
      </c>
      <c r="Y32" s="55">
        <v>2</v>
      </c>
      <c r="Z32" s="55">
        <v>1.7</v>
      </c>
      <c r="AA32" s="56">
        <f>AVERAGE(Table1[[#This Row],[Operaciones sobre piezas (Semana 2) ]:[Escaneo de partes anatómicas (Semana 6) ]])*0.7+Table1[[#This Row],[Asistencia]]*0.3</f>
        <v>2.0728616018808097</v>
      </c>
      <c r="AB32" s="46">
        <v>4.1157407407407406E-2</v>
      </c>
      <c r="AC32" s="52">
        <f>IF(AB32/$AC$2&lt;=1.01,AB32/$AC$2,0.6)</f>
        <v>1</v>
      </c>
      <c r="AD32" s="46">
        <v>3.7291666666666667E-2</v>
      </c>
      <c r="AE32" s="52">
        <f>IF(AD32/$AE$2&lt;=1.01,AD32/$AE$2,0.6)</f>
        <v>0.99352451433857547</v>
      </c>
      <c r="AF32" s="46">
        <v>3.8368055555555558E-2</v>
      </c>
      <c r="AG32" s="52">
        <v>1</v>
      </c>
      <c r="AH32" s="46">
        <v>1.4722222222222222E-2</v>
      </c>
      <c r="AI32" s="52">
        <f>IF(AH32/$AI$2&lt;=1.01,AH32/$AI$2,0.6)</f>
        <v>1</v>
      </c>
      <c r="AJ32" s="46">
        <v>3.3252314814814818E-2</v>
      </c>
      <c r="AK32" s="52">
        <f>IF(AJ32/$AK$2&lt;=1.01,AJ32/$AK$2,0.6)</f>
        <v>0.92557989690721665</v>
      </c>
      <c r="AL32" s="47">
        <v>1.0462962962962962E-2</v>
      </c>
      <c r="AM32" s="52">
        <f>IF(AL32/$AM$2&lt;=1.01,AL32/$AM$2,0.6)</f>
        <v>0.34890003859513702</v>
      </c>
      <c r="AN32" s="53">
        <f>AVERAGE(AC32,AE32,AG32,AI32,AK32,AM32)*5</f>
        <v>4.3900037082007746</v>
      </c>
      <c r="AO32" s="56">
        <v>3.3</v>
      </c>
      <c r="AP32" s="56">
        <v>2.6</v>
      </c>
      <c r="AQ32" s="56">
        <f>Table1[[#This Row],[Asistencia 2o Corte]]*0.3+AVERAGE(Table1[[#This Row],[Tarea:Introducción a 3DSlicer (Semana 8) (Real)]:[Tarea:Segmentación Manual y Semi-Automática (Semana 10) (Real)]])*0.7</f>
        <v>3.3820011124602321</v>
      </c>
      <c r="AR32" s="56"/>
      <c r="AS32" s="56"/>
      <c r="AT32" s="56"/>
      <c r="AU32" s="61">
        <v>3.712962962962963E-2</v>
      </c>
      <c r="AV32" s="56">
        <f>IF(AU32/$AV$2&lt;=1.01,AU32/$AV$2,0.6)</f>
        <v>1</v>
      </c>
      <c r="AW32" s="61">
        <v>2.4236111111111111E-2</v>
      </c>
      <c r="AX32" s="56">
        <f>IF(AW32/$AX$2&lt;=1.01,AW32/$AX$2,0.6)</f>
        <v>0.74228996809641967</v>
      </c>
      <c r="AY32" s="61">
        <v>3.6481481481481483E-2</v>
      </c>
      <c r="AZ32" s="56">
        <f>IF(AY32/$AZ$2&lt;=1.01,AY32/$AZ$2,0.6)</f>
        <v>1.0035020694046481</v>
      </c>
      <c r="BA32" s="61">
        <v>3.3483796296296296E-2</v>
      </c>
      <c r="BB32" s="56">
        <f>IF(BA32/$BB$2&lt;=1.01,BA32/$BB$2,0.6)</f>
        <v>0.98301053346924894</v>
      </c>
      <c r="BC32" s="56"/>
      <c r="BD32" s="56"/>
      <c r="BE32" s="56"/>
      <c r="BF32" s="56" t="s">
        <v>340</v>
      </c>
      <c r="BG32" s="56"/>
      <c r="BH32" s="56">
        <f>AVERAGE(AV32,AX32,AZ32,BB32)*5</f>
        <v>4.6610032137128963</v>
      </c>
      <c r="BI32" s="56">
        <v>4.4000000000000004</v>
      </c>
      <c r="BJ32" s="56">
        <v>3.8</v>
      </c>
      <c r="BK32" s="56">
        <v>1.9</v>
      </c>
      <c r="BL32" s="56">
        <v>0</v>
      </c>
      <c r="BM32" s="56">
        <v>0.4</v>
      </c>
      <c r="BN32" s="56">
        <f>AVERAGE(Table1[[#This Row],[Tarea:Impresión 3D (Semana 13) (Real)]:[Tarea:Evaluación Final Sincrónica (Semana 17) (Real)]])*0.7+Table1[[#This Row],[nota asistencia]]*0.3</f>
        <v>2.8683009641138688</v>
      </c>
      <c r="BO32" s="56">
        <f t="shared" si="0"/>
        <v>2.7743878928183037</v>
      </c>
    </row>
    <row r="33" spans="13:26" x14ac:dyDescent="0.25">
      <c r="M33" s="46"/>
    </row>
    <row r="34" spans="13:26" x14ac:dyDescent="0.25">
      <c r="M34" s="46"/>
    </row>
    <row r="35" spans="13:26" x14ac:dyDescent="0.25">
      <c r="Z35" s="60"/>
    </row>
  </sheetData>
  <phoneticPr fontId="18" type="noConversion"/>
  <hyperlinks>
    <hyperlink ref="E30" r:id="rId1" xr:uid="{6ABD49C4-C1FA-45A2-AD96-9D7E301F893E}"/>
    <hyperlink ref="AT17" r:id="rId2" xr:uid="{72E5B865-6A16-4027-AA7F-8309AA8E7C49}"/>
    <hyperlink ref="AT6" r:id="rId3" xr:uid="{8FED4187-E999-42DD-82CC-F37D4BE24C51}"/>
    <hyperlink ref="BD6" r:id="rId4" xr:uid="{2E37526D-027E-41BC-BAED-C1A844EA9F8F}"/>
    <hyperlink ref="BD17" r:id="rId5" xr:uid="{E06EE212-05AB-4664-8DCA-46D3F1D6D37D}"/>
    <hyperlink ref="BE19" r:id="rId6" xr:uid="{1361E0DC-895E-444B-A911-A89BE8947B96}"/>
    <hyperlink ref="BE8" r:id="rId7" xr:uid="{3302DCF2-27E0-44FB-BC7C-4E08CC0EDE54}"/>
    <hyperlink ref="BE13" r:id="rId8" xr:uid="{BF3DB944-94A4-4648-AF5F-0ECC56568AE1}"/>
    <hyperlink ref="BE11" r:id="rId9" xr:uid="{5F46F972-396B-4570-B0DD-24EA16F0390C}"/>
    <hyperlink ref="BE12" r:id="rId10" xr:uid="{272034D9-53A2-4083-AAD8-E832405CF66F}"/>
    <hyperlink ref="BG19" r:id="rId11" xr:uid="{224BA11F-5C43-4BA2-8324-7023BD544804}"/>
    <hyperlink ref="BG30" r:id="rId12" xr:uid="{35A33CE7-B7B4-4A74-90CC-9A5FBF6042FA}"/>
    <hyperlink ref="BG25" r:id="rId13" xr:uid="{ED49BF5E-A30C-47F3-9FE0-62E24A30D66A}"/>
    <hyperlink ref="BG29" r:id="rId14" xr:uid="{6E40325A-CD2B-45AD-A6F6-D727330E5BAE}"/>
  </hyperlinks>
  <pageMargins left="0.7" right="0.7" top="0.75" bottom="0.75" header="0.3" footer="0.3"/>
  <pageSetup orientation="portrait" r:id="rId15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1974-3F33-4A2F-868D-4FBA97A033D8}">
  <dimension ref="B1:B7"/>
  <sheetViews>
    <sheetView workbookViewId="0">
      <selection activeCell="B5" sqref="B5"/>
    </sheetView>
  </sheetViews>
  <sheetFormatPr baseColWidth="10" defaultColWidth="9.140625" defaultRowHeight="15" x14ac:dyDescent="0.25"/>
  <cols>
    <col min="2" max="2" width="75.85546875" bestFit="1" customWidth="1"/>
  </cols>
  <sheetData>
    <row r="1" spans="2:2" x14ac:dyDescent="0.25">
      <c r="B1" t="s">
        <v>131</v>
      </c>
    </row>
    <row r="2" spans="2:2" x14ac:dyDescent="0.25">
      <c r="B2" t="s">
        <v>132</v>
      </c>
    </row>
    <row r="3" spans="2:2" x14ac:dyDescent="0.25">
      <c r="B3" t="s">
        <v>133</v>
      </c>
    </row>
    <row r="4" spans="2:2" x14ac:dyDescent="0.25">
      <c r="B4" t="s">
        <v>137</v>
      </c>
    </row>
    <row r="5" spans="2:2" x14ac:dyDescent="0.25">
      <c r="B5" t="s">
        <v>134</v>
      </c>
    </row>
    <row r="6" spans="2:2" x14ac:dyDescent="0.25">
      <c r="B6" t="s">
        <v>135</v>
      </c>
    </row>
    <row r="7" spans="2:2" x14ac:dyDescent="0.25">
      <c r="B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A008-BCEA-4A99-A79F-FCC884D6E8C1}">
  <dimension ref="A1:G34"/>
  <sheetViews>
    <sheetView workbookViewId="0">
      <selection activeCell="G22" sqref="G22"/>
    </sheetView>
  </sheetViews>
  <sheetFormatPr baseColWidth="10" defaultColWidth="9.140625" defaultRowHeight="15" x14ac:dyDescent="0.25"/>
  <cols>
    <col min="1" max="1" width="35.42578125" bestFit="1" customWidth="1"/>
    <col min="2" max="2" width="13.5703125" bestFit="1" customWidth="1"/>
    <col min="4" max="4" width="23.5703125" bestFit="1" customWidth="1"/>
    <col min="5" max="5" width="19.85546875" bestFit="1" customWidth="1"/>
  </cols>
  <sheetData>
    <row r="1" spans="1:5" x14ac:dyDescent="0.25">
      <c r="A1" t="s">
        <v>74</v>
      </c>
      <c r="B1" t="s">
        <v>75</v>
      </c>
    </row>
    <row r="2" spans="1:5" x14ac:dyDescent="0.25">
      <c r="B2">
        <v>0</v>
      </c>
      <c r="D2" s="4" t="s">
        <v>98</v>
      </c>
      <c r="E2" s="4" t="s">
        <v>44</v>
      </c>
    </row>
    <row r="3" spans="1:5" x14ac:dyDescent="0.25">
      <c r="A3" t="s">
        <v>62</v>
      </c>
      <c r="B3" s="1">
        <v>3.1365740740740743E-2</v>
      </c>
      <c r="D3" s="3" t="s">
        <v>92</v>
      </c>
      <c r="E3" s="3" t="s">
        <v>26</v>
      </c>
    </row>
    <row r="4" spans="1:5" x14ac:dyDescent="0.25">
      <c r="A4" t="s">
        <v>63</v>
      </c>
      <c r="B4" s="1">
        <v>2.8564814814814814E-2</v>
      </c>
      <c r="D4" s="4" t="s">
        <v>91</v>
      </c>
      <c r="E4" s="4" t="s">
        <v>32</v>
      </c>
    </row>
    <row r="5" spans="1:5" x14ac:dyDescent="0.25">
      <c r="A5" t="s">
        <v>191</v>
      </c>
      <c r="B5" s="1">
        <v>3.3553240740740738E-2</v>
      </c>
      <c r="D5" s="3" t="s">
        <v>78</v>
      </c>
      <c r="E5" s="3" t="s">
        <v>40</v>
      </c>
    </row>
    <row r="6" spans="1:5" x14ac:dyDescent="0.25">
      <c r="B6" s="1">
        <v>0</v>
      </c>
      <c r="D6" s="6" t="s">
        <v>79</v>
      </c>
      <c r="E6" s="6" t="s">
        <v>7</v>
      </c>
    </row>
    <row r="7" spans="1:5" x14ac:dyDescent="0.25">
      <c r="A7" t="s">
        <v>64</v>
      </c>
      <c r="B7" s="1">
        <v>3.3402777777777781E-2</v>
      </c>
      <c r="D7" s="3" t="s">
        <v>90</v>
      </c>
      <c r="E7" s="3" t="s">
        <v>20</v>
      </c>
    </row>
    <row r="8" spans="1:5" x14ac:dyDescent="0.25">
      <c r="A8" t="s">
        <v>65</v>
      </c>
      <c r="B8" s="1">
        <v>3.4062500000000002E-2</v>
      </c>
      <c r="D8" s="4" t="s">
        <v>81</v>
      </c>
      <c r="E8" s="4" t="s">
        <v>28</v>
      </c>
    </row>
    <row r="9" spans="1:5" x14ac:dyDescent="0.25">
      <c r="B9" s="1">
        <v>0</v>
      </c>
      <c r="D9" s="3" t="s">
        <v>86</v>
      </c>
      <c r="E9" s="3" t="s">
        <v>30</v>
      </c>
    </row>
    <row r="10" spans="1:5" x14ac:dyDescent="0.25">
      <c r="A10" t="s">
        <v>276</v>
      </c>
      <c r="B10" s="1">
        <v>3.2476851851851854E-2</v>
      </c>
      <c r="D10" s="4" t="s">
        <v>84</v>
      </c>
      <c r="E10" s="4" t="s">
        <v>24</v>
      </c>
    </row>
    <row r="11" spans="1:5" x14ac:dyDescent="0.25">
      <c r="A11" t="s">
        <v>277</v>
      </c>
      <c r="B11" s="1">
        <v>2.5104166666666667E-2</v>
      </c>
      <c r="D11" s="3" t="s">
        <v>97</v>
      </c>
      <c r="E11" s="3" t="s">
        <v>48</v>
      </c>
    </row>
    <row r="12" spans="1:5" x14ac:dyDescent="0.25">
      <c r="A12" t="s">
        <v>212</v>
      </c>
      <c r="B12" s="1">
        <v>3.1759259259259258E-2</v>
      </c>
      <c r="D12" s="4" t="s">
        <v>97</v>
      </c>
      <c r="E12" s="4" t="s">
        <v>10</v>
      </c>
    </row>
    <row r="13" spans="1:5" x14ac:dyDescent="0.25">
      <c r="A13" t="s">
        <v>111</v>
      </c>
      <c r="B13" s="1">
        <v>3.4074074074074076E-2</v>
      </c>
      <c r="D13" s="3" t="s">
        <v>100</v>
      </c>
      <c r="E13" s="3" t="s">
        <v>16</v>
      </c>
    </row>
    <row r="14" spans="1:5" x14ac:dyDescent="0.25">
      <c r="A14" t="s">
        <v>169</v>
      </c>
      <c r="B14" s="1">
        <v>3.2673611111111112E-2</v>
      </c>
      <c r="D14" s="4" t="s">
        <v>76</v>
      </c>
      <c r="E14" s="4" t="s">
        <v>36</v>
      </c>
    </row>
    <row r="15" spans="1:5" x14ac:dyDescent="0.25">
      <c r="A15" t="s">
        <v>304</v>
      </c>
      <c r="B15" s="1">
        <v>3.3090277777777781E-2</v>
      </c>
      <c r="D15" s="3" t="s">
        <v>80</v>
      </c>
      <c r="E15" s="3" t="s">
        <v>14</v>
      </c>
    </row>
    <row r="16" spans="1:5" x14ac:dyDescent="0.25">
      <c r="A16" t="s">
        <v>333</v>
      </c>
      <c r="B16" s="1">
        <v>3.1944444444444442E-2</v>
      </c>
      <c r="D16" s="4" t="s">
        <v>80</v>
      </c>
      <c r="E16" s="4" t="s">
        <v>46</v>
      </c>
    </row>
    <row r="17" spans="1:7" x14ac:dyDescent="0.25">
      <c r="B17" s="1">
        <v>0</v>
      </c>
      <c r="D17" s="5" t="s">
        <v>82</v>
      </c>
      <c r="E17" s="5" t="s">
        <v>8</v>
      </c>
    </row>
    <row r="18" spans="1:7" x14ac:dyDescent="0.25">
      <c r="A18" t="s">
        <v>66</v>
      </c>
      <c r="B18" s="1">
        <v>3.246527777777778E-2</v>
      </c>
      <c r="D18" s="4" t="s">
        <v>85</v>
      </c>
      <c r="E18" s="4" t="s">
        <v>34</v>
      </c>
    </row>
    <row r="19" spans="1:7" x14ac:dyDescent="0.25">
      <c r="A19" t="s">
        <v>67</v>
      </c>
      <c r="B19" s="1">
        <v>3.3240740740740737E-2</v>
      </c>
      <c r="D19" s="3" t="s">
        <v>106</v>
      </c>
      <c r="E19" s="3" t="s">
        <v>5</v>
      </c>
    </row>
    <row r="20" spans="1:7" x14ac:dyDescent="0.25">
      <c r="A20" t="s">
        <v>192</v>
      </c>
      <c r="B20" s="1">
        <v>3.4074074074074076E-2</v>
      </c>
      <c r="D20" s="4" t="s">
        <v>103</v>
      </c>
      <c r="E20" s="4" t="s">
        <v>50</v>
      </c>
    </row>
    <row r="21" spans="1:7" x14ac:dyDescent="0.25">
      <c r="A21" t="s">
        <v>170</v>
      </c>
      <c r="B21" s="1">
        <v>3.3483796296296296E-2</v>
      </c>
      <c r="D21" s="3" t="s">
        <v>88</v>
      </c>
      <c r="E21" s="3" t="s">
        <v>107</v>
      </c>
    </row>
    <row r="22" spans="1:7" x14ac:dyDescent="0.25">
      <c r="B22" s="1">
        <v>0</v>
      </c>
      <c r="D22" s="4" t="s">
        <v>88</v>
      </c>
      <c r="E22" s="4" t="s">
        <v>87</v>
      </c>
      <c r="F22" t="s">
        <v>71</v>
      </c>
      <c r="G22" s="1">
        <v>3.4062500000000002E-2</v>
      </c>
    </row>
    <row r="23" spans="1:7" x14ac:dyDescent="0.25">
      <c r="B23" s="1">
        <v>0</v>
      </c>
      <c r="D23" s="5" t="s">
        <v>104</v>
      </c>
      <c r="E23" s="5" t="s">
        <v>39</v>
      </c>
      <c r="G23" s="1"/>
    </row>
    <row r="24" spans="1:7" x14ac:dyDescent="0.25">
      <c r="A24" t="s">
        <v>68</v>
      </c>
      <c r="B24" s="1">
        <v>3.4074074074074076E-2</v>
      </c>
      <c r="D24" s="4" t="s">
        <v>83</v>
      </c>
      <c r="E24" s="4" t="s">
        <v>12</v>
      </c>
    </row>
    <row r="25" spans="1:7" x14ac:dyDescent="0.25">
      <c r="A25" t="s">
        <v>69</v>
      </c>
      <c r="B25" s="1">
        <v>3.4722222222222222E-5</v>
      </c>
      <c r="D25" s="3" t="s">
        <v>77</v>
      </c>
      <c r="E25" s="3" t="s">
        <v>42</v>
      </c>
      <c r="G25" s="1"/>
    </row>
    <row r="26" spans="1:7" x14ac:dyDescent="0.25">
      <c r="A26" t="s">
        <v>70</v>
      </c>
      <c r="B26" s="1">
        <v>3.1516203703703706E-2</v>
      </c>
      <c r="D26" s="4" t="s">
        <v>94</v>
      </c>
      <c r="E26" s="4" t="s">
        <v>22</v>
      </c>
      <c r="G26" s="1"/>
    </row>
    <row r="27" spans="1:7" x14ac:dyDescent="0.25">
      <c r="A27" t="s">
        <v>110</v>
      </c>
      <c r="B27" s="1">
        <v>3.4074074074074076E-2</v>
      </c>
      <c r="D27" s="3" t="s">
        <v>102</v>
      </c>
      <c r="E27" s="3" t="s">
        <v>18</v>
      </c>
      <c r="G27" s="1"/>
    </row>
    <row r="28" spans="1:7" x14ac:dyDescent="0.25">
      <c r="A28" t="s">
        <v>193</v>
      </c>
      <c r="B28" s="1">
        <v>1.9444444444444444E-3</v>
      </c>
      <c r="D28" s="14" t="s">
        <v>105</v>
      </c>
      <c r="E28" s="14" t="s">
        <v>54</v>
      </c>
    </row>
    <row r="29" spans="1:7" x14ac:dyDescent="0.25">
      <c r="B29" s="1">
        <v>0</v>
      </c>
      <c r="D29" s="3" t="s">
        <v>89</v>
      </c>
      <c r="E29" s="3" t="s">
        <v>52</v>
      </c>
    </row>
    <row r="30" spans="1:7" x14ac:dyDescent="0.25">
      <c r="B30" s="1">
        <v>0</v>
      </c>
      <c r="D30" s="6" t="s">
        <v>89</v>
      </c>
      <c r="E30" s="6" t="s">
        <v>93</v>
      </c>
    </row>
    <row r="31" spans="1:7" x14ac:dyDescent="0.25">
      <c r="A31" t="s">
        <v>72</v>
      </c>
      <c r="B31" s="1">
        <v>2.6956018518518518E-2</v>
      </c>
      <c r="D31" s="3" t="s">
        <v>101</v>
      </c>
      <c r="E31" s="3" t="s">
        <v>3</v>
      </c>
    </row>
    <row r="32" spans="1:7" x14ac:dyDescent="0.25">
      <c r="A32" t="s">
        <v>73</v>
      </c>
      <c r="B32" s="1">
        <v>3.4074074074074076E-2</v>
      </c>
      <c r="D32" s="4" t="s">
        <v>96</v>
      </c>
      <c r="E32" s="4" t="s">
        <v>95</v>
      </c>
    </row>
    <row r="33" spans="2:5" x14ac:dyDescent="0.25">
      <c r="B33" s="1"/>
      <c r="D33" s="3"/>
      <c r="E33" s="3"/>
    </row>
    <row r="34" spans="2:5" x14ac:dyDescent="0.25">
      <c r="B34" s="1"/>
      <c r="D34" s="4"/>
      <c r="E34" s="4"/>
    </row>
  </sheetData>
  <autoFilter ref="A1:B1" xr:uid="{356CA008-BCEA-4A99-A79F-FCC884D6E8C1}">
    <sortState xmlns:xlrd2="http://schemas.microsoft.com/office/spreadsheetml/2017/richdata2" ref="A2:B33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F340-5B77-4BB3-B5D5-C1FFFC050A5C}">
  <dimension ref="A1:R42"/>
  <sheetViews>
    <sheetView topLeftCell="A16" workbookViewId="0">
      <selection activeCell="Q44" sqref="Q44"/>
    </sheetView>
  </sheetViews>
  <sheetFormatPr baseColWidth="10" defaultColWidth="9.140625" defaultRowHeight="15" x14ac:dyDescent="0.25"/>
  <cols>
    <col min="1" max="1" width="21.140625" bestFit="1" customWidth="1"/>
    <col min="2" max="2" width="21.140625" customWidth="1"/>
    <col min="3" max="3" width="19.42578125" bestFit="1" customWidth="1"/>
    <col min="4" max="4" width="6.5703125" hidden="1" customWidth="1"/>
    <col min="5" max="5" width="14.5703125" bestFit="1" customWidth="1"/>
    <col min="6" max="6" width="18.140625" customWidth="1"/>
    <col min="7" max="9" width="16.7109375" hidden="1" customWidth="1"/>
    <col min="10" max="10" width="6" bestFit="1" customWidth="1"/>
    <col min="11" max="11" width="21" bestFit="1" customWidth="1"/>
    <col min="12" max="13" width="9" bestFit="1" customWidth="1"/>
    <col min="14" max="14" width="10.5703125" bestFit="1" customWidth="1"/>
    <col min="16" max="16" width="23.5703125" bestFit="1" customWidth="1"/>
    <col min="17" max="17" width="19.85546875" bestFit="1" customWidth="1"/>
    <col min="18" max="18" width="11" bestFit="1" customWidth="1"/>
  </cols>
  <sheetData>
    <row r="1" spans="2:18" x14ac:dyDescent="0.25">
      <c r="B1" s="13" t="s">
        <v>2</v>
      </c>
      <c r="C1" s="13" t="s">
        <v>139</v>
      </c>
      <c r="D1" s="10" t="s">
        <v>129</v>
      </c>
      <c r="E1" s="13" t="s">
        <v>140</v>
      </c>
      <c r="F1" s="26" t="s">
        <v>60</v>
      </c>
      <c r="G1" s="33" t="s">
        <v>195</v>
      </c>
      <c r="H1" s="33"/>
      <c r="I1" s="34"/>
      <c r="J1" s="35" t="s">
        <v>216</v>
      </c>
      <c r="K1" s="35"/>
      <c r="L1" s="35"/>
      <c r="M1" s="35"/>
      <c r="N1" s="35"/>
    </row>
    <row r="2" spans="2:18" x14ac:dyDescent="0.25">
      <c r="B2" t="s">
        <v>98</v>
      </c>
      <c r="C2" t="s">
        <v>44</v>
      </c>
      <c r="D2" s="7">
        <v>8</v>
      </c>
      <c r="E2" s="9" t="s">
        <v>141</v>
      </c>
      <c r="F2" s="27">
        <v>1061688602</v>
      </c>
      <c r="G2" s="4" t="s">
        <v>196</v>
      </c>
      <c r="H2" s="4" t="s">
        <v>197</v>
      </c>
      <c r="I2" s="4" t="s">
        <v>198</v>
      </c>
      <c r="J2" s="18" t="s">
        <v>217</v>
      </c>
      <c r="K2" s="19" t="s">
        <v>218</v>
      </c>
      <c r="L2" s="20" t="s">
        <v>219</v>
      </c>
      <c r="M2" s="20" t="s">
        <v>220</v>
      </c>
      <c r="N2" s="20" t="s">
        <v>221</v>
      </c>
      <c r="P2" s="4" t="s">
        <v>44</v>
      </c>
      <c r="Q2" s="4" t="s">
        <v>98</v>
      </c>
      <c r="R2" s="4">
        <v>1061688602</v>
      </c>
    </row>
    <row r="3" spans="2:18" x14ac:dyDescent="0.25">
      <c r="B3" t="s">
        <v>92</v>
      </c>
      <c r="C3" t="s">
        <v>26</v>
      </c>
      <c r="D3" s="7">
        <v>1</v>
      </c>
      <c r="E3" s="9" t="s">
        <v>142</v>
      </c>
      <c r="F3" s="27">
        <v>1110286885</v>
      </c>
      <c r="G3" s="3" t="s">
        <v>197</v>
      </c>
      <c r="H3" s="3" t="s">
        <v>198</v>
      </c>
      <c r="I3" s="3" t="s">
        <v>199</v>
      </c>
      <c r="J3" s="18" t="s">
        <v>222</v>
      </c>
      <c r="K3" s="19" t="s">
        <v>223</v>
      </c>
      <c r="L3" s="20" t="s">
        <v>224</v>
      </c>
      <c r="M3" s="20" t="s">
        <v>225</v>
      </c>
      <c r="N3" s="20" t="s">
        <v>226</v>
      </c>
      <c r="P3" s="3" t="s">
        <v>26</v>
      </c>
      <c r="Q3" s="3" t="s">
        <v>92</v>
      </c>
      <c r="R3" s="3">
        <v>1110286885</v>
      </c>
    </row>
    <row r="4" spans="2:18" x14ac:dyDescent="0.25">
      <c r="B4" t="s">
        <v>91</v>
      </c>
      <c r="C4" t="s">
        <v>32</v>
      </c>
      <c r="D4" s="7">
        <v>2</v>
      </c>
      <c r="E4" s="9" t="s">
        <v>143</v>
      </c>
      <c r="F4" s="27">
        <v>1112388246</v>
      </c>
      <c r="G4" s="4" t="s">
        <v>198</v>
      </c>
      <c r="H4" s="4" t="s">
        <v>199</v>
      </c>
      <c r="I4" s="4" t="s">
        <v>200</v>
      </c>
      <c r="J4" s="18" t="s">
        <v>227</v>
      </c>
      <c r="K4" s="19" t="s">
        <v>228</v>
      </c>
      <c r="L4" s="20" t="s">
        <v>229</v>
      </c>
      <c r="M4" s="20" t="s">
        <v>230</v>
      </c>
      <c r="N4" s="20" t="s">
        <v>221</v>
      </c>
      <c r="P4" s="4" t="s">
        <v>32</v>
      </c>
      <c r="Q4" s="4" t="s">
        <v>91</v>
      </c>
      <c r="R4" s="4">
        <v>1112388246</v>
      </c>
    </row>
    <row r="5" spans="2:18" x14ac:dyDescent="0.25">
      <c r="B5" t="s">
        <v>78</v>
      </c>
      <c r="C5" t="s">
        <v>40</v>
      </c>
      <c r="D5" s="8">
        <v>1</v>
      </c>
      <c r="E5" s="9" t="s">
        <v>144</v>
      </c>
      <c r="F5" s="27">
        <v>1109542109</v>
      </c>
      <c r="G5" s="3" t="s">
        <v>199</v>
      </c>
      <c r="H5" s="3" t="s">
        <v>200</v>
      </c>
      <c r="I5" s="3" t="s">
        <v>201</v>
      </c>
      <c r="J5" s="18" t="s">
        <v>231</v>
      </c>
      <c r="K5" s="19" t="s">
        <v>232</v>
      </c>
      <c r="L5" s="20" t="s">
        <v>233</v>
      </c>
      <c r="M5" s="20" t="s">
        <v>234</v>
      </c>
      <c r="N5" s="20" t="s">
        <v>226</v>
      </c>
      <c r="P5" s="3" t="s">
        <v>40</v>
      </c>
      <c r="Q5" s="3" t="s">
        <v>78</v>
      </c>
      <c r="R5" s="3">
        <v>1109542109</v>
      </c>
    </row>
    <row r="6" spans="2:18" x14ac:dyDescent="0.25">
      <c r="B6" t="s">
        <v>90</v>
      </c>
      <c r="C6" t="s">
        <v>20</v>
      </c>
      <c r="D6" s="8">
        <v>2</v>
      </c>
      <c r="E6" s="9" t="s">
        <v>145</v>
      </c>
      <c r="F6" s="27">
        <v>1193276119</v>
      </c>
      <c r="G6" s="4" t="s">
        <v>200</v>
      </c>
      <c r="H6" s="4" t="s">
        <v>201</v>
      </c>
      <c r="I6" s="4" t="s">
        <v>202</v>
      </c>
      <c r="J6" s="18" t="s">
        <v>235</v>
      </c>
      <c r="K6" s="19" t="s">
        <v>236</v>
      </c>
      <c r="L6" s="20" t="s">
        <v>237</v>
      </c>
      <c r="M6" s="20" t="s">
        <v>238</v>
      </c>
      <c r="N6" s="20" t="s">
        <v>221</v>
      </c>
      <c r="P6" s="6" t="s">
        <v>7</v>
      </c>
      <c r="Q6" s="6" t="s">
        <v>79</v>
      </c>
      <c r="R6" s="4">
        <v>1193276119</v>
      </c>
    </row>
    <row r="7" spans="2:18" x14ac:dyDescent="0.25">
      <c r="B7" t="s">
        <v>81</v>
      </c>
      <c r="C7" t="s">
        <v>28</v>
      </c>
      <c r="D7" s="8">
        <v>3</v>
      </c>
      <c r="E7" s="9" t="s">
        <v>146</v>
      </c>
      <c r="F7" s="27">
        <v>1143992171</v>
      </c>
      <c r="G7" s="3" t="s">
        <v>201</v>
      </c>
      <c r="H7" s="3" t="s">
        <v>202</v>
      </c>
      <c r="I7" s="3" t="s">
        <v>203</v>
      </c>
      <c r="J7" s="18" t="s">
        <v>239</v>
      </c>
      <c r="K7" s="19" t="s">
        <v>240</v>
      </c>
      <c r="L7" s="20" t="s">
        <v>241</v>
      </c>
      <c r="M7" s="20" t="s">
        <v>242</v>
      </c>
      <c r="N7" s="20" t="s">
        <v>226</v>
      </c>
      <c r="P7" s="5" t="s">
        <v>38</v>
      </c>
      <c r="Q7" s="5" t="s">
        <v>99</v>
      </c>
      <c r="R7" s="3">
        <v>1143992171</v>
      </c>
    </row>
    <row r="8" spans="2:18" x14ac:dyDescent="0.25">
      <c r="B8" t="s">
        <v>86</v>
      </c>
      <c r="C8" t="s">
        <v>30</v>
      </c>
      <c r="D8" s="8">
        <v>4</v>
      </c>
      <c r="E8" s="9" t="s">
        <v>147</v>
      </c>
      <c r="F8" s="27">
        <v>1000940688</v>
      </c>
      <c r="G8" s="4" t="s">
        <v>202</v>
      </c>
      <c r="H8" s="4" t="s">
        <v>203</v>
      </c>
      <c r="I8" s="4" t="s">
        <v>204</v>
      </c>
      <c r="J8" s="18" t="s">
        <v>243</v>
      </c>
      <c r="K8" s="19" t="s">
        <v>244</v>
      </c>
      <c r="L8" s="20" t="s">
        <v>245</v>
      </c>
      <c r="M8" s="20" t="s">
        <v>246</v>
      </c>
      <c r="N8" s="20" t="s">
        <v>221</v>
      </c>
      <c r="P8" s="4" t="s">
        <v>20</v>
      </c>
      <c r="Q8" s="4" t="s">
        <v>90</v>
      </c>
      <c r="R8" s="4">
        <v>1000940688</v>
      </c>
    </row>
    <row r="9" spans="2:18" x14ac:dyDescent="0.25">
      <c r="B9" t="s">
        <v>84</v>
      </c>
      <c r="C9" t="s">
        <v>24</v>
      </c>
      <c r="D9" s="7">
        <v>5</v>
      </c>
      <c r="E9" s="9" t="s">
        <v>148</v>
      </c>
      <c r="F9" s="27">
        <v>1007560675</v>
      </c>
      <c r="G9" s="3" t="s">
        <v>203</v>
      </c>
      <c r="H9" s="3" t="s">
        <v>204</v>
      </c>
      <c r="I9" s="3" t="s">
        <v>205</v>
      </c>
      <c r="J9" s="18" t="s">
        <v>247</v>
      </c>
      <c r="K9" s="19" t="s">
        <v>248</v>
      </c>
      <c r="L9" s="20" t="s">
        <v>249</v>
      </c>
      <c r="M9" s="20" t="s">
        <v>250</v>
      </c>
      <c r="N9" s="20" t="s">
        <v>226</v>
      </c>
      <c r="P9" s="3" t="s">
        <v>28</v>
      </c>
      <c r="Q9" s="3" t="s">
        <v>81</v>
      </c>
      <c r="R9" s="3">
        <v>1007560675</v>
      </c>
    </row>
    <row r="10" spans="2:18" x14ac:dyDescent="0.25">
      <c r="B10" t="s">
        <v>97</v>
      </c>
      <c r="C10" t="s">
        <v>48</v>
      </c>
      <c r="D10" s="8">
        <v>4</v>
      </c>
      <c r="E10" s="9" t="s">
        <v>149</v>
      </c>
      <c r="F10" s="27">
        <v>1110285503</v>
      </c>
      <c r="G10" s="4" t="s">
        <v>204</v>
      </c>
      <c r="H10" s="4" t="s">
        <v>205</v>
      </c>
      <c r="I10" s="4" t="s">
        <v>206</v>
      </c>
      <c r="J10" s="18" t="s">
        <v>251</v>
      </c>
      <c r="K10" s="19" t="s">
        <v>252</v>
      </c>
      <c r="L10" s="20" t="s">
        <v>253</v>
      </c>
      <c r="M10" s="20" t="s">
        <v>254</v>
      </c>
      <c r="N10" s="20" t="s">
        <v>221</v>
      </c>
      <c r="P10" s="4" t="s">
        <v>30</v>
      </c>
      <c r="Q10" s="4" t="s">
        <v>86</v>
      </c>
      <c r="R10" s="4">
        <v>1110285503</v>
      </c>
    </row>
    <row r="11" spans="2:18" x14ac:dyDescent="0.25">
      <c r="B11" t="s">
        <v>97</v>
      </c>
      <c r="C11" t="s">
        <v>10</v>
      </c>
      <c r="D11" s="7">
        <v>6</v>
      </c>
      <c r="E11" s="9" t="s">
        <v>150</v>
      </c>
      <c r="F11" s="27">
        <v>1107837304</v>
      </c>
      <c r="G11" s="3" t="s">
        <v>205</v>
      </c>
      <c r="H11" s="3" t="s">
        <v>206</v>
      </c>
      <c r="I11" s="3" t="s">
        <v>207</v>
      </c>
      <c r="J11" s="18" t="s">
        <v>255</v>
      </c>
      <c r="K11" s="19" t="s">
        <v>256</v>
      </c>
      <c r="L11" s="20" t="s">
        <v>257</v>
      </c>
      <c r="M11" s="20" t="s">
        <v>258</v>
      </c>
      <c r="N11" s="20" t="s">
        <v>226</v>
      </c>
      <c r="P11" s="3" t="s">
        <v>24</v>
      </c>
      <c r="Q11" s="3" t="s">
        <v>84</v>
      </c>
      <c r="R11" s="3">
        <v>1107837304</v>
      </c>
    </row>
    <row r="12" spans="2:18" x14ac:dyDescent="0.25">
      <c r="B12" t="s">
        <v>100</v>
      </c>
      <c r="C12" t="s">
        <v>16</v>
      </c>
      <c r="D12" s="8">
        <v>5</v>
      </c>
      <c r="E12" s="9" t="s">
        <v>151</v>
      </c>
      <c r="F12" s="27">
        <v>1112388822</v>
      </c>
      <c r="G12" s="4" t="s">
        <v>206</v>
      </c>
      <c r="H12" s="4" t="s">
        <v>207</v>
      </c>
      <c r="I12" s="4" t="s">
        <v>208</v>
      </c>
      <c r="J12" s="18" t="s">
        <v>259</v>
      </c>
      <c r="K12" s="19" t="s">
        <v>260</v>
      </c>
      <c r="L12" s="20" t="s">
        <v>261</v>
      </c>
      <c r="M12" s="20" t="s">
        <v>262</v>
      </c>
      <c r="N12" s="20" t="s">
        <v>221</v>
      </c>
      <c r="P12" s="4" t="s">
        <v>48</v>
      </c>
      <c r="Q12" s="4" t="s">
        <v>97</v>
      </c>
      <c r="R12" s="4">
        <v>1112388822</v>
      </c>
    </row>
    <row r="13" spans="2:18" x14ac:dyDescent="0.25">
      <c r="B13" t="s">
        <v>76</v>
      </c>
      <c r="C13" t="s">
        <v>36</v>
      </c>
      <c r="D13" s="8">
        <v>1</v>
      </c>
      <c r="E13" s="9" t="s">
        <v>152</v>
      </c>
      <c r="F13" s="27">
        <v>1107839506</v>
      </c>
      <c r="G13" s="3" t="s">
        <v>207</v>
      </c>
      <c r="H13" s="3" t="s">
        <v>208</v>
      </c>
      <c r="I13" s="3" t="s">
        <v>209</v>
      </c>
      <c r="J13" s="18" t="s">
        <v>217</v>
      </c>
      <c r="K13" s="19" t="s">
        <v>223</v>
      </c>
      <c r="L13" s="20" t="s">
        <v>229</v>
      </c>
      <c r="M13" s="20" t="s">
        <v>234</v>
      </c>
      <c r="N13" s="20" t="s">
        <v>221</v>
      </c>
      <c r="P13" s="3" t="s">
        <v>10</v>
      </c>
      <c r="Q13" s="3" t="s">
        <v>97</v>
      </c>
      <c r="R13" s="3">
        <v>1107839506</v>
      </c>
    </row>
    <row r="14" spans="2:18" x14ac:dyDescent="0.25">
      <c r="B14" t="s">
        <v>80</v>
      </c>
      <c r="C14" t="s">
        <v>14</v>
      </c>
      <c r="D14" s="7">
        <v>4</v>
      </c>
      <c r="E14" s="9" t="s">
        <v>153</v>
      </c>
      <c r="F14" s="27">
        <v>1112041894</v>
      </c>
      <c r="G14" s="4" t="s">
        <v>208</v>
      </c>
      <c r="H14" s="4" t="s">
        <v>209</v>
      </c>
      <c r="I14" s="4" t="s">
        <v>210</v>
      </c>
      <c r="J14" s="18" t="s">
        <v>222</v>
      </c>
      <c r="K14" s="19" t="s">
        <v>228</v>
      </c>
      <c r="L14" s="20" t="s">
        <v>233</v>
      </c>
      <c r="M14" s="20" t="s">
        <v>238</v>
      </c>
      <c r="N14" s="20" t="s">
        <v>226</v>
      </c>
      <c r="P14" s="4" t="s">
        <v>16</v>
      </c>
      <c r="Q14" s="4" t="s">
        <v>100</v>
      </c>
      <c r="R14" s="4">
        <v>1112041894</v>
      </c>
    </row>
    <row r="15" spans="2:18" x14ac:dyDescent="0.25">
      <c r="B15" t="s">
        <v>80</v>
      </c>
      <c r="C15" t="s">
        <v>46</v>
      </c>
      <c r="D15" s="7">
        <v>5</v>
      </c>
      <c r="E15" s="9" t="s">
        <v>155</v>
      </c>
      <c r="F15" s="27">
        <v>1005785665</v>
      </c>
      <c r="G15" s="3" t="s">
        <v>209</v>
      </c>
      <c r="H15" s="3" t="s">
        <v>210</v>
      </c>
      <c r="I15" s="3" t="s">
        <v>196</v>
      </c>
      <c r="J15" s="18" t="s">
        <v>227</v>
      </c>
      <c r="K15" s="19" t="s">
        <v>232</v>
      </c>
      <c r="L15" s="20" t="s">
        <v>237</v>
      </c>
      <c r="M15" s="20" t="s">
        <v>242</v>
      </c>
      <c r="N15" s="20" t="s">
        <v>221</v>
      </c>
      <c r="P15" s="3" t="s">
        <v>36</v>
      </c>
      <c r="Q15" s="3" t="s">
        <v>76</v>
      </c>
      <c r="R15" s="3">
        <v>1005785665</v>
      </c>
    </row>
    <row r="16" spans="2:18" x14ac:dyDescent="0.25">
      <c r="B16" t="s">
        <v>109</v>
      </c>
      <c r="C16" t="s">
        <v>108</v>
      </c>
      <c r="D16" s="8">
        <v>8</v>
      </c>
      <c r="E16" s="9" t="s">
        <v>154</v>
      </c>
      <c r="F16" s="27">
        <v>1113978874</v>
      </c>
      <c r="G16" s="4" t="s">
        <v>211</v>
      </c>
      <c r="H16" s="4" t="s">
        <v>196</v>
      </c>
      <c r="I16" s="4" t="s">
        <v>197</v>
      </c>
      <c r="J16" s="18" t="s">
        <v>231</v>
      </c>
      <c r="K16" s="19" t="s">
        <v>236</v>
      </c>
      <c r="L16" s="20" t="s">
        <v>241</v>
      </c>
      <c r="M16" s="20" t="s">
        <v>246</v>
      </c>
      <c r="N16" s="20" t="s">
        <v>226</v>
      </c>
      <c r="P16" s="4" t="s">
        <v>14</v>
      </c>
      <c r="Q16" s="4" t="s">
        <v>80</v>
      </c>
      <c r="R16" s="4">
        <v>1113978874</v>
      </c>
    </row>
    <row r="17" spans="1:18" x14ac:dyDescent="0.25">
      <c r="B17" t="s">
        <v>85</v>
      </c>
      <c r="C17" t="s">
        <v>34</v>
      </c>
      <c r="D17" s="8">
        <v>7</v>
      </c>
      <c r="E17" s="9" t="s">
        <v>156</v>
      </c>
      <c r="F17" s="27">
        <v>1105366146</v>
      </c>
      <c r="G17" s="3" t="s">
        <v>196</v>
      </c>
      <c r="H17" s="3" t="s">
        <v>197</v>
      </c>
      <c r="I17" s="3" t="s">
        <v>198</v>
      </c>
      <c r="J17" s="18" t="s">
        <v>235</v>
      </c>
      <c r="K17" s="19" t="s">
        <v>240</v>
      </c>
      <c r="L17" s="20" t="s">
        <v>219</v>
      </c>
      <c r="M17" s="20" t="s">
        <v>220</v>
      </c>
      <c r="N17" s="20" t="s">
        <v>221</v>
      </c>
      <c r="P17" s="3" t="s">
        <v>46</v>
      </c>
      <c r="Q17" s="3" t="s">
        <v>80</v>
      </c>
      <c r="R17" s="3">
        <v>1105366146</v>
      </c>
    </row>
    <row r="18" spans="1:18" x14ac:dyDescent="0.25">
      <c r="B18" t="s">
        <v>106</v>
      </c>
      <c r="C18" t="s">
        <v>5</v>
      </c>
      <c r="D18" s="7">
        <v>7</v>
      </c>
      <c r="E18" s="9" t="s">
        <v>157</v>
      </c>
      <c r="F18" s="27">
        <v>1004189893</v>
      </c>
      <c r="G18" s="4" t="s">
        <v>197</v>
      </c>
      <c r="H18" s="4" t="s">
        <v>198</v>
      </c>
      <c r="I18" s="4" t="s">
        <v>199</v>
      </c>
      <c r="J18" s="18" t="s">
        <v>239</v>
      </c>
      <c r="K18" s="19" t="s">
        <v>244</v>
      </c>
      <c r="L18" s="20" t="s">
        <v>224</v>
      </c>
      <c r="M18" s="20" t="s">
        <v>225</v>
      </c>
      <c r="N18" s="20" t="s">
        <v>226</v>
      </c>
      <c r="P18" s="6" t="s">
        <v>8</v>
      </c>
      <c r="Q18" s="6" t="s">
        <v>82</v>
      </c>
      <c r="R18" s="4">
        <v>1004189893</v>
      </c>
    </row>
    <row r="19" spans="1:18" x14ac:dyDescent="0.25">
      <c r="B19" t="s">
        <v>103</v>
      </c>
      <c r="C19" t="s">
        <v>50</v>
      </c>
      <c r="D19" s="8">
        <v>6</v>
      </c>
      <c r="E19" s="9" t="s">
        <v>158</v>
      </c>
      <c r="F19" s="27">
        <v>1062276579</v>
      </c>
      <c r="G19" s="3" t="s">
        <v>198</v>
      </c>
      <c r="H19" s="3" t="s">
        <v>199</v>
      </c>
      <c r="I19" s="3" t="s">
        <v>200</v>
      </c>
      <c r="J19" s="18" t="s">
        <v>243</v>
      </c>
      <c r="K19" s="19" t="s">
        <v>248</v>
      </c>
      <c r="L19" s="20" t="s">
        <v>229</v>
      </c>
      <c r="M19" s="20" t="s">
        <v>230</v>
      </c>
      <c r="N19" s="20" t="s">
        <v>221</v>
      </c>
      <c r="P19" s="3" t="s">
        <v>108</v>
      </c>
      <c r="Q19" s="3" t="s">
        <v>109</v>
      </c>
      <c r="R19" s="3">
        <v>1062276579</v>
      </c>
    </row>
    <row r="20" spans="1:18" x14ac:dyDescent="0.25">
      <c r="B20" t="s">
        <v>88</v>
      </c>
      <c r="C20" t="s">
        <v>107</v>
      </c>
      <c r="D20" s="7">
        <v>1</v>
      </c>
      <c r="E20" s="9" t="s">
        <v>159</v>
      </c>
      <c r="F20" s="27">
        <v>1058932076</v>
      </c>
      <c r="G20" s="4" t="s">
        <v>199</v>
      </c>
      <c r="H20" s="4" t="s">
        <v>200</v>
      </c>
      <c r="I20" s="4" t="s">
        <v>201</v>
      </c>
      <c r="J20" s="18" t="s">
        <v>247</v>
      </c>
      <c r="K20" s="19" t="s">
        <v>252</v>
      </c>
      <c r="L20" s="20" t="s">
        <v>233</v>
      </c>
      <c r="M20" s="20" t="s">
        <v>234</v>
      </c>
      <c r="N20" s="20" t="s">
        <v>226</v>
      </c>
      <c r="P20" s="4" t="s">
        <v>34</v>
      </c>
      <c r="Q20" s="4" t="s">
        <v>85</v>
      </c>
      <c r="R20" s="4">
        <v>1058932076</v>
      </c>
    </row>
    <row r="21" spans="1:18" x14ac:dyDescent="0.25">
      <c r="B21" t="s">
        <v>88</v>
      </c>
      <c r="C21" t="s">
        <v>87</v>
      </c>
      <c r="D21" s="7">
        <v>2</v>
      </c>
      <c r="E21" s="9" t="s">
        <v>160</v>
      </c>
      <c r="F21" s="27">
        <v>1113362057</v>
      </c>
      <c r="G21" s="3" t="s">
        <v>200</v>
      </c>
      <c r="H21" s="3" t="s">
        <v>201</v>
      </c>
      <c r="I21" s="3" t="s">
        <v>202</v>
      </c>
      <c r="J21" s="18" t="s">
        <v>251</v>
      </c>
      <c r="K21" s="19" t="s">
        <v>256</v>
      </c>
      <c r="L21" s="20" t="s">
        <v>237</v>
      </c>
      <c r="M21" s="20" t="s">
        <v>238</v>
      </c>
      <c r="N21" s="20" t="s">
        <v>221</v>
      </c>
      <c r="P21" s="3" t="s">
        <v>5</v>
      </c>
      <c r="Q21" s="3" t="s">
        <v>106</v>
      </c>
      <c r="R21" s="3">
        <v>1113362057</v>
      </c>
    </row>
    <row r="22" spans="1:18" x14ac:dyDescent="0.25">
      <c r="B22" t="s">
        <v>83</v>
      </c>
      <c r="C22" t="s">
        <v>12</v>
      </c>
      <c r="D22" s="8">
        <v>5</v>
      </c>
      <c r="E22" s="9" t="s">
        <v>161</v>
      </c>
      <c r="F22" s="27">
        <v>1112389849</v>
      </c>
      <c r="G22" s="4" t="s">
        <v>201</v>
      </c>
      <c r="H22" s="4" t="s">
        <v>202</v>
      </c>
      <c r="I22" s="4" t="s">
        <v>203</v>
      </c>
      <c r="J22" s="18" t="s">
        <v>255</v>
      </c>
      <c r="K22" s="19" t="s">
        <v>260</v>
      </c>
      <c r="L22" s="20" t="s">
        <v>241</v>
      </c>
      <c r="M22" s="20" t="s">
        <v>242</v>
      </c>
      <c r="N22" s="20" t="s">
        <v>226</v>
      </c>
      <c r="P22" s="4" t="s">
        <v>50</v>
      </c>
      <c r="Q22" s="4" t="s">
        <v>103</v>
      </c>
      <c r="R22" s="4">
        <v>1112389849</v>
      </c>
    </row>
    <row r="23" spans="1:18" x14ac:dyDescent="0.25">
      <c r="B23" t="s">
        <v>77</v>
      </c>
      <c r="C23" t="s">
        <v>42</v>
      </c>
      <c r="D23" s="8">
        <v>4</v>
      </c>
      <c r="E23" s="9" t="s">
        <v>162</v>
      </c>
      <c r="F23" s="27">
        <v>1036925847</v>
      </c>
      <c r="G23" s="3" t="s">
        <v>202</v>
      </c>
      <c r="H23" s="3" t="s">
        <v>203</v>
      </c>
      <c r="I23" s="3" t="s">
        <v>204</v>
      </c>
      <c r="J23" s="18" t="s">
        <v>259</v>
      </c>
      <c r="K23" s="19" t="s">
        <v>218</v>
      </c>
      <c r="L23" s="20" t="s">
        <v>245</v>
      </c>
      <c r="M23" s="20" t="s">
        <v>246</v>
      </c>
      <c r="N23" s="20" t="s">
        <v>221</v>
      </c>
      <c r="P23" s="3" t="s">
        <v>107</v>
      </c>
      <c r="Q23" s="3" t="s">
        <v>88</v>
      </c>
      <c r="R23" s="3">
        <v>1036925847</v>
      </c>
    </row>
    <row r="24" spans="1:18" x14ac:dyDescent="0.25">
      <c r="B24" t="s">
        <v>94</v>
      </c>
      <c r="C24" t="s">
        <v>22</v>
      </c>
      <c r="D24" s="7">
        <v>3</v>
      </c>
      <c r="E24" s="9" t="s">
        <v>163</v>
      </c>
      <c r="F24" s="27">
        <v>1107837413</v>
      </c>
      <c r="G24" s="4" t="s">
        <v>203</v>
      </c>
      <c r="H24" s="4" t="s">
        <v>204</v>
      </c>
      <c r="I24" s="4" t="s">
        <v>205</v>
      </c>
      <c r="J24" s="18" t="s">
        <v>217</v>
      </c>
      <c r="K24" s="19" t="s">
        <v>223</v>
      </c>
      <c r="L24" s="20" t="s">
        <v>249</v>
      </c>
      <c r="M24" s="20" t="s">
        <v>250</v>
      </c>
      <c r="N24" s="20" t="s">
        <v>226</v>
      </c>
      <c r="P24" s="4" t="s">
        <v>87</v>
      </c>
      <c r="Q24" s="4" t="s">
        <v>88</v>
      </c>
      <c r="R24" s="4">
        <v>1107837413</v>
      </c>
    </row>
    <row r="25" spans="1:18" x14ac:dyDescent="0.25">
      <c r="B25" t="s">
        <v>102</v>
      </c>
      <c r="C25" t="s">
        <v>18</v>
      </c>
      <c r="D25" s="7">
        <v>3</v>
      </c>
      <c r="E25" s="9" t="s">
        <v>164</v>
      </c>
      <c r="F25" s="27">
        <v>1234198199</v>
      </c>
      <c r="G25" s="3" t="s">
        <v>204</v>
      </c>
      <c r="H25" s="3" t="s">
        <v>205</v>
      </c>
      <c r="I25" s="3" t="s">
        <v>206</v>
      </c>
      <c r="J25" s="18" t="s">
        <v>222</v>
      </c>
      <c r="K25" s="19" t="s">
        <v>228</v>
      </c>
      <c r="L25" s="20" t="s">
        <v>253</v>
      </c>
      <c r="M25" s="20" t="s">
        <v>254</v>
      </c>
      <c r="N25" s="20" t="s">
        <v>221</v>
      </c>
      <c r="P25" s="5" t="s">
        <v>39</v>
      </c>
      <c r="Q25" s="5" t="s">
        <v>104</v>
      </c>
      <c r="R25" s="3">
        <v>1234198199</v>
      </c>
    </row>
    <row r="26" spans="1:18" x14ac:dyDescent="0.25">
      <c r="B26" t="s">
        <v>105</v>
      </c>
      <c r="C26" t="s">
        <v>54</v>
      </c>
      <c r="D26" s="8">
        <v>3</v>
      </c>
      <c r="E26" s="9" t="s">
        <v>165</v>
      </c>
      <c r="F26" s="27">
        <v>1005892878</v>
      </c>
      <c r="G26" s="4" t="s">
        <v>205</v>
      </c>
      <c r="H26" s="4" t="s">
        <v>206</v>
      </c>
      <c r="I26" s="4" t="s">
        <v>207</v>
      </c>
      <c r="J26" s="18" t="s">
        <v>227</v>
      </c>
      <c r="K26" s="19" t="s">
        <v>232</v>
      </c>
      <c r="L26" s="20" t="s">
        <v>257</v>
      </c>
      <c r="M26" s="20" t="s">
        <v>258</v>
      </c>
      <c r="N26" s="20" t="s">
        <v>226</v>
      </c>
      <c r="P26" s="4" t="s">
        <v>12</v>
      </c>
      <c r="Q26" s="4" t="s">
        <v>83</v>
      </c>
      <c r="R26" s="4">
        <v>1005892878</v>
      </c>
    </row>
    <row r="27" spans="1:18" x14ac:dyDescent="0.25">
      <c r="B27" t="s">
        <v>89</v>
      </c>
      <c r="C27" t="s">
        <v>52</v>
      </c>
      <c r="D27" s="7">
        <v>4</v>
      </c>
      <c r="E27" s="9" t="s">
        <v>166</v>
      </c>
      <c r="F27" s="27">
        <v>1104804719</v>
      </c>
      <c r="G27" s="3" t="s">
        <v>206</v>
      </c>
      <c r="H27" s="3" t="s">
        <v>207</v>
      </c>
      <c r="I27" s="3" t="s">
        <v>208</v>
      </c>
      <c r="J27" s="18" t="s">
        <v>231</v>
      </c>
      <c r="K27" s="19" t="s">
        <v>236</v>
      </c>
      <c r="L27" s="20" t="s">
        <v>261</v>
      </c>
      <c r="M27" s="20" t="s">
        <v>262</v>
      </c>
      <c r="N27" s="20" t="s">
        <v>221</v>
      </c>
      <c r="P27" s="3" t="s">
        <v>42</v>
      </c>
      <c r="Q27" s="3" t="s">
        <v>77</v>
      </c>
      <c r="R27" s="3">
        <v>1104804719</v>
      </c>
    </row>
    <row r="28" spans="1:18" x14ac:dyDescent="0.25">
      <c r="B28" t="s">
        <v>101</v>
      </c>
      <c r="C28" t="s">
        <v>3</v>
      </c>
      <c r="D28" s="7">
        <v>6</v>
      </c>
      <c r="E28" s="9" t="s">
        <v>167</v>
      </c>
      <c r="F28" s="27">
        <v>1005832925</v>
      </c>
      <c r="G28" s="4" t="s">
        <v>207</v>
      </c>
      <c r="H28" s="4" t="s">
        <v>208</v>
      </c>
      <c r="I28" s="4" t="s">
        <v>209</v>
      </c>
      <c r="J28" s="18" t="s">
        <v>235</v>
      </c>
      <c r="K28" s="19" t="s">
        <v>240</v>
      </c>
      <c r="L28" s="20" t="s">
        <v>229</v>
      </c>
      <c r="M28" s="20" t="s">
        <v>234</v>
      </c>
      <c r="N28" s="20" t="s">
        <v>221</v>
      </c>
      <c r="P28" s="4" t="s">
        <v>22</v>
      </c>
      <c r="Q28" s="4" t="s">
        <v>94</v>
      </c>
      <c r="R28" s="4">
        <v>1005832925</v>
      </c>
    </row>
    <row r="29" spans="1:18" x14ac:dyDescent="0.25">
      <c r="B29" t="s">
        <v>96</v>
      </c>
      <c r="C29" t="s">
        <v>95</v>
      </c>
      <c r="D29" s="8">
        <v>7</v>
      </c>
      <c r="E29" s="9" t="s">
        <v>168</v>
      </c>
      <c r="F29" s="27">
        <v>1006343564</v>
      </c>
      <c r="G29" s="3" t="s">
        <v>208</v>
      </c>
      <c r="H29" s="3" t="s">
        <v>209</v>
      </c>
      <c r="I29" s="3" t="s">
        <v>210</v>
      </c>
      <c r="J29" s="18" t="s">
        <v>239</v>
      </c>
      <c r="K29" s="19" t="s">
        <v>244</v>
      </c>
      <c r="L29" s="20" t="s">
        <v>233</v>
      </c>
      <c r="M29" s="20" t="s">
        <v>238</v>
      </c>
      <c r="N29" s="20" t="s">
        <v>226</v>
      </c>
      <c r="P29" s="3" t="s">
        <v>18</v>
      </c>
      <c r="Q29" s="3" t="s">
        <v>102</v>
      </c>
      <c r="R29" s="3">
        <v>1006343564</v>
      </c>
    </row>
    <row r="30" spans="1:18" x14ac:dyDescent="0.25">
      <c r="A30" s="6" t="s">
        <v>7</v>
      </c>
      <c r="B30" s="11"/>
      <c r="C30" s="11" t="s">
        <v>79</v>
      </c>
      <c r="D30" s="7"/>
      <c r="E30" s="12"/>
      <c r="F30" s="27">
        <v>73265790</v>
      </c>
      <c r="G30" s="16" t="s">
        <v>209</v>
      </c>
      <c r="H30" s="16" t="s">
        <v>210</v>
      </c>
      <c r="I30" s="16" t="s">
        <v>196</v>
      </c>
      <c r="J30" s="32" t="s">
        <v>243</v>
      </c>
      <c r="K30" s="19" t="s">
        <v>248</v>
      </c>
      <c r="L30" s="20" t="s">
        <v>237</v>
      </c>
      <c r="M30" s="20" t="s">
        <v>242</v>
      </c>
      <c r="N30" s="20" t="s">
        <v>221</v>
      </c>
      <c r="P30" s="14" t="s">
        <v>54</v>
      </c>
      <c r="Q30" s="14" t="s">
        <v>105</v>
      </c>
      <c r="R30" s="4">
        <v>73265790</v>
      </c>
    </row>
    <row r="31" spans="1:18" x14ac:dyDescent="0.25">
      <c r="A31" s="5" t="s">
        <v>38</v>
      </c>
      <c r="B31" s="5"/>
      <c r="C31" s="5" t="s">
        <v>99</v>
      </c>
      <c r="D31" s="8"/>
      <c r="E31" s="2"/>
      <c r="F31" s="27">
        <v>1004217163</v>
      </c>
      <c r="G31" s="16" t="s">
        <v>211</v>
      </c>
      <c r="H31" s="15" t="s">
        <v>196</v>
      </c>
      <c r="I31" s="16" t="s">
        <v>197</v>
      </c>
      <c r="J31" s="18" t="s">
        <v>247</v>
      </c>
      <c r="K31" s="19" t="s">
        <v>252</v>
      </c>
      <c r="L31" s="20" t="s">
        <v>241</v>
      </c>
      <c r="M31" s="20" t="s">
        <v>246</v>
      </c>
      <c r="N31" s="20" t="s">
        <v>226</v>
      </c>
      <c r="P31" s="3" t="s">
        <v>52</v>
      </c>
      <c r="Q31" s="3" t="s">
        <v>89</v>
      </c>
      <c r="R31" s="3">
        <v>1004217163</v>
      </c>
    </row>
    <row r="32" spans="1:18" x14ac:dyDescent="0.25">
      <c r="A32" s="6" t="s">
        <v>8</v>
      </c>
      <c r="B32" s="6"/>
      <c r="C32" s="6" t="s">
        <v>82</v>
      </c>
      <c r="D32" s="7"/>
      <c r="F32" s="27">
        <v>1094883894</v>
      </c>
      <c r="J32" s="18" t="s">
        <v>251</v>
      </c>
      <c r="K32" s="19" t="s">
        <v>256</v>
      </c>
      <c r="L32" s="20" t="s">
        <v>245</v>
      </c>
      <c r="M32" s="20" t="s">
        <v>246</v>
      </c>
      <c r="N32" s="20" t="s">
        <v>221</v>
      </c>
      <c r="P32" s="6" t="s">
        <v>93</v>
      </c>
      <c r="Q32" s="6" t="s">
        <v>89</v>
      </c>
      <c r="R32" s="4">
        <v>1094883894</v>
      </c>
    </row>
    <row r="33" spans="1:18" x14ac:dyDescent="0.25">
      <c r="A33" s="5" t="s">
        <v>39</v>
      </c>
      <c r="B33" s="5"/>
      <c r="C33" s="5" t="s">
        <v>104</v>
      </c>
      <c r="D33" s="8"/>
      <c r="F33" s="27">
        <v>1076904274</v>
      </c>
      <c r="J33" s="18" t="s">
        <v>255</v>
      </c>
      <c r="K33" s="19" t="s">
        <v>260</v>
      </c>
      <c r="L33" s="20" t="s">
        <v>249</v>
      </c>
      <c r="M33" s="20" t="s">
        <v>250</v>
      </c>
      <c r="N33" s="20" t="s">
        <v>226</v>
      </c>
      <c r="P33" s="3" t="s">
        <v>3</v>
      </c>
      <c r="Q33" s="3" t="s">
        <v>101</v>
      </c>
      <c r="R33" s="3">
        <v>1076904274</v>
      </c>
    </row>
    <row r="34" spans="1:18" x14ac:dyDescent="0.25">
      <c r="A34" s="6" t="s">
        <v>93</v>
      </c>
      <c r="B34" s="6"/>
      <c r="C34" s="6" t="s">
        <v>89</v>
      </c>
      <c r="D34" s="7"/>
      <c r="F34" s="27">
        <v>1002886235</v>
      </c>
      <c r="J34" s="18" t="s">
        <v>259</v>
      </c>
      <c r="K34" s="19" t="s">
        <v>218</v>
      </c>
      <c r="L34" s="20" t="s">
        <v>253</v>
      </c>
      <c r="M34" s="20" t="s">
        <v>254</v>
      </c>
      <c r="N34" s="20" t="s">
        <v>221</v>
      </c>
      <c r="P34" s="4" t="s">
        <v>95</v>
      </c>
      <c r="Q34" s="4" t="s">
        <v>96</v>
      </c>
      <c r="R34" s="4">
        <v>1002886235</v>
      </c>
    </row>
    <row r="35" spans="1:18" x14ac:dyDescent="0.25">
      <c r="A35" s="28"/>
      <c r="B35" s="28"/>
      <c r="C35" s="28"/>
      <c r="D35" s="29"/>
      <c r="J35" s="31"/>
      <c r="P35" s="30"/>
      <c r="Q35" s="30"/>
      <c r="R35" s="30"/>
    </row>
    <row r="36" spans="1:18" x14ac:dyDescent="0.25">
      <c r="A36" s="28"/>
      <c r="B36" s="28"/>
      <c r="C36" s="28"/>
      <c r="D36" s="29"/>
      <c r="J36" s="31"/>
      <c r="P36" s="30"/>
      <c r="Q36" s="30"/>
      <c r="R36" s="30"/>
    </row>
    <row r="38" spans="1:18" x14ac:dyDescent="0.25">
      <c r="J38" s="36" t="s">
        <v>263</v>
      </c>
      <c r="K38" s="36"/>
    </row>
    <row r="39" spans="1:18" x14ac:dyDescent="0.25">
      <c r="J39" s="24" t="s">
        <v>266</v>
      </c>
      <c r="K39" s="25" t="s">
        <v>267</v>
      </c>
    </row>
    <row r="40" spans="1:18" x14ac:dyDescent="0.25">
      <c r="J40" s="21"/>
      <c r="K40" s="17" t="s">
        <v>264</v>
      </c>
    </row>
    <row r="41" spans="1:18" x14ac:dyDescent="0.25">
      <c r="J41" s="22"/>
      <c r="K41" s="17" t="s">
        <v>265</v>
      </c>
    </row>
    <row r="42" spans="1:18" x14ac:dyDescent="0.25">
      <c r="J42" s="23"/>
      <c r="K42" s="17" t="s">
        <v>268</v>
      </c>
    </row>
  </sheetData>
  <autoFilter ref="A1:E34" xr:uid="{1633F340-5B77-4BB3-B5D5-C1FFFC050A5C}"/>
  <mergeCells count="3">
    <mergeCell ref="G1:I1"/>
    <mergeCell ref="J1:N1"/>
    <mergeCell ref="J38:K38"/>
  </mergeCells>
  <hyperlinks>
    <hyperlink ref="E3" r:id="rId1" display="https://uao-my.sharepoint.com/:u:/g/personal/oicampo_uao_edu_co/Ef39u63j2jNNlr41x60ySkMBgKTOE726blos_Q8zT6HnYg?e=w7b0aC" xr:uid="{830FA8C8-0B69-41E9-93D8-38F9CCECCAE8}"/>
    <hyperlink ref="E5" r:id="rId2" display="https://uao-my.sharepoint.com/:u:/g/personal/oicampo_uao_edu_co/EaIWo7YFVYlAuN93clEL44gBAXKbjKXNfPryYCfZL6L4MQ?e=7ImTKy" xr:uid="{E29BB367-97C0-4920-BBFA-46523E5A3E30}"/>
    <hyperlink ref="E20" r:id="rId3" display="https://uao-my.sharepoint.com/:u:/g/personal/oicampo_uao_edu_co/EUuR8OS5_ypLv55gMNbs_VEB0YK9DTeBAKx0lpeZmGIeJw?e=8HgIh5" xr:uid="{7785FB78-9B79-420D-B2C5-45F3130124D8}"/>
    <hyperlink ref="E13" r:id="rId4" display="https://uao-my.sharepoint.com/:u:/g/personal/oicampo_uao_edu_co/EcZ8r75bpS5MpBJfTFFEy-gBVhWrdbBe601C0Z8Go9e_KQ?e=ms2D9T" xr:uid="{BCA06653-7E9F-465A-BF10-3FCACAD5091A}"/>
    <hyperlink ref="E4" r:id="rId5" display="https://uao-my.sharepoint.com/:u:/g/personal/oicampo_uao_edu_co/EYN7zW8Sc7ZMg-EpBYNO4asBxd6gaN2WatTXVv4JJLUmMg?e=ntlGW3" xr:uid="{2CD096BF-8F98-4306-82BC-1E0A79E8CDF3}"/>
    <hyperlink ref="E6" r:id="rId6" display="https://uao-my.sharepoint.com/:u:/g/personal/oicampo_uao_edu_co/EYnFW6Vai6VFvpeEtI7cf6IBl-Xd3lhGCeVy-7E65bPiAg?e=gZymTU" xr:uid="{0676F713-7C8C-4D63-BA65-876794B63B2E}"/>
    <hyperlink ref="E21" r:id="rId7" display="https://uao-my.sharepoint.com/:u:/g/personal/oicampo_uao_edu_co/Ef39u63j2jNNlr41x60ySkMBgKTOE726blos_Q8zT6HnYg?e=w7b0aC" xr:uid="{CFD9CE00-7A03-45DE-979B-82ECDC2C07A4}"/>
    <hyperlink ref="E7" r:id="rId8" display="https://uao-my.sharepoint.com/:u:/g/personal/oicampo_uao_edu_co/EaIWo7YFVYlAuN93clEL44gBAXKbjKXNfPryYCfZL6L4MQ?e=7ImTKy" xr:uid="{0DD50A91-E37A-4AE8-8605-C320C26EA1A9}"/>
    <hyperlink ref="E24" r:id="rId9" display="https://uao-my.sharepoint.com/:u:/g/personal/oicampo_uao_edu_co/EUuR8OS5_ypLv55gMNbs_VEB0YK9DTeBAKx0lpeZmGIeJw?e=8HgIh5" xr:uid="{1D4B919D-1CC1-4DDD-AC80-A2B3BE53CEA9}"/>
    <hyperlink ref="E26" r:id="rId10" display="https://uao-my.sharepoint.com/:u:/g/personal/oicampo_uao_edu_co/EcZ8r75bpS5MpBJfTFFEy-gBVhWrdbBe601C0Z8Go9e_KQ?e=ms2D9T" xr:uid="{DCF8380B-DCC4-4BA9-9B2F-1E06B6F8F194}"/>
    <hyperlink ref="E25" r:id="rId11" display="https://uao-my.sharepoint.com/:u:/g/personal/oicampo_uao_edu_co/EYN7zW8Sc7ZMg-EpBYNO4asBxd6gaN2WatTXVv4JJLUmMg?e=ntlGW3" xr:uid="{2D02EFA2-9768-4B4E-B49F-FC8A651D7785}"/>
    <hyperlink ref="E8" r:id="rId12" display="https://uao-my.sharepoint.com/:u:/g/personal/oicampo_uao_edu_co/EYnFW6Vai6VFvpeEtI7cf6IBl-Xd3lhGCeVy-7E65bPiAg?e=gZymTU" xr:uid="{2DDE7F74-FC38-4035-9766-38E9FFB4D90D}"/>
    <hyperlink ref="E14" r:id="rId13" display="https://uao-my.sharepoint.com/:u:/g/personal/oicampo_uao_edu_co/Ef39u63j2jNNlr41x60ySkMBgKTOE726blos_Q8zT6HnYg?e=w7b0aC" xr:uid="{DBB9DEFC-1403-404C-871C-E47EAA5E9BBF}"/>
    <hyperlink ref="E23" r:id="rId14" display="https://uao-my.sharepoint.com/:u:/g/personal/oicampo_uao_edu_co/EaIWo7YFVYlAuN93clEL44gBAXKbjKXNfPryYCfZL6L4MQ?e=7ImTKy" xr:uid="{2990DD93-5F38-4F9A-B509-EE5C9D99202D}"/>
    <hyperlink ref="E27" r:id="rId15" display="https://uao-my.sharepoint.com/:u:/g/personal/oicampo_uao_edu_co/EUuR8OS5_ypLv55gMNbs_VEB0YK9DTeBAKx0lpeZmGIeJw?e=8HgIh5" xr:uid="{45AF076F-A222-4B0A-8142-08496153568B}"/>
    <hyperlink ref="E10" r:id="rId16" display="https://uao-my.sharepoint.com/:u:/g/personal/oicampo_uao_edu_co/EcZ8r75bpS5MpBJfTFFEy-gBVhWrdbBe601C0Z8Go9e_KQ?e=ms2D9T" xr:uid="{3247383A-8BEE-43CE-90D5-532FDCB8A4B7}"/>
    <hyperlink ref="E9" r:id="rId17" display="https://uao-my.sharepoint.com/:u:/g/personal/oicampo_uao_edu_co/EYN7zW8Sc7ZMg-EpBYNO4asBxd6gaN2WatTXVv4JJLUmMg?e=ntlGW3" xr:uid="{8C2C9EDE-3148-4C5A-966D-4B8B28D9F830}"/>
    <hyperlink ref="E12" r:id="rId18" display="https://uao-my.sharepoint.com/:u:/g/personal/oicampo_uao_edu_co/EYnFW6Vai6VFvpeEtI7cf6IBl-Xd3lhGCeVy-7E65bPiAg?e=gZymTU" xr:uid="{09D17668-862C-42B9-9A72-00AE0960A28A}"/>
    <hyperlink ref="E15" r:id="rId19" display="https://uao-my.sharepoint.com/:u:/g/personal/oicampo_uao_edu_co/Ef39u63j2jNNlr41x60ySkMBgKTOE726blos_Q8zT6HnYg?e=w7b0aC" xr:uid="{93C2A2DE-01BD-4753-8B41-F8FC4AE0E537}"/>
    <hyperlink ref="E22" r:id="rId20" display="https://uao-my.sharepoint.com/:u:/g/personal/oicampo_uao_edu_co/EaIWo7YFVYlAuN93clEL44gBAXKbjKXNfPryYCfZL6L4MQ?e=7ImTKy" xr:uid="{CBD8B369-C704-4BC4-AD50-D3DA8608066A}"/>
    <hyperlink ref="E11" r:id="rId21" display="https://uao-my.sharepoint.com/:u:/g/personal/oicampo_uao_edu_co/EUuR8OS5_ypLv55gMNbs_VEB0YK9DTeBAKx0lpeZmGIeJw?e=8HgIh5" xr:uid="{9569A324-BB9D-4C20-A17A-E2290D83A870}"/>
    <hyperlink ref="E19" r:id="rId22" display="https://uao-my.sharepoint.com/:u:/g/personal/oicampo_uao_edu_co/EcZ8r75bpS5MpBJfTFFEy-gBVhWrdbBe601C0Z8Go9e_KQ?e=ms2D9T" xr:uid="{BF686717-F8BC-49EF-9565-EE1546BEE1D5}"/>
    <hyperlink ref="E28" r:id="rId23" display="https://uao-my.sharepoint.com/:u:/g/personal/oicampo_uao_edu_co/EYN7zW8Sc7ZMg-EpBYNO4asBxd6gaN2WatTXVv4JJLUmMg?e=ntlGW3" xr:uid="{2AB26690-32CD-4FC6-B190-89C353D6DEFF}"/>
    <hyperlink ref="E17" r:id="rId24" display="https://uao-my.sharepoint.com/:u:/g/personal/oicampo_uao_edu_co/EYnFW6Vai6VFvpeEtI7cf6IBl-Xd3lhGCeVy-7E65bPiAg?e=gZymTU" xr:uid="{E7A35ABE-B51A-4DC0-9577-04D2CE83FEED}"/>
    <hyperlink ref="E18" r:id="rId25" display="https://uao-my.sharepoint.com/:u:/g/personal/oicampo_uao_edu_co/Ef39u63j2jNNlr41x60ySkMBgKTOE726blos_Q8zT6HnYg?e=w7b0aC" xr:uid="{9CA613C9-C5F8-44B3-9FFF-C1BEE176D8DC}"/>
    <hyperlink ref="E29" r:id="rId26" display="https://uao-my.sharepoint.com/:u:/g/personal/oicampo_uao_edu_co/EaIWo7YFVYlAuN93clEL44gBAXKbjKXNfPryYCfZL6L4MQ?e=7ImTKy" xr:uid="{5EC5C912-1012-4FB8-9761-129950FC98AE}"/>
    <hyperlink ref="E2" r:id="rId27" display="https://uao-my.sharepoint.com/:u:/g/personal/oicampo_uao_edu_co/EUuR8OS5_ypLv55gMNbs_VEB0YK9DTeBAKx0lpeZmGIeJw?e=8HgIh5" xr:uid="{088933A8-E656-4925-961C-BD059F85C264}"/>
    <hyperlink ref="E16" r:id="rId28" display="https://uao-my.sharepoint.com/:u:/g/personal/oicampo_uao_edu_co/EcZ8r75bpS5MpBJfTFFEy-gBVhWrdbBe601C0Z8Go9e_KQ?e=ms2D9T" xr:uid="{D33719F4-06EF-49EE-8A31-1C7B854B0E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CABD 2025-2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Ivan Campo Salazar</cp:lastModifiedBy>
  <dcterms:created xsi:type="dcterms:W3CDTF">2025-07-25T15:05:49Z</dcterms:created>
  <dcterms:modified xsi:type="dcterms:W3CDTF">2025-11-27T21:34:06Z</dcterms:modified>
</cp:coreProperties>
</file>