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UAO\oicampo-uao.github.io\academics\DB2\2025-2\"/>
    </mc:Choice>
  </mc:AlternateContent>
  <xr:revisionPtr revIDLastSave="0" documentId="13_ncr:1_{05982590-E777-44BB-909C-1B424CB97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1" sheetId="4" r:id="rId2"/>
    <sheet name="Sheet2" sheetId="2" r:id="rId3"/>
    <sheet name="Sheet3" sheetId="3" r:id="rId4"/>
  </sheets>
  <definedNames>
    <definedName name="_xlnm._FilterDatabase" localSheetId="1" hidden="1">Hoja1!$A$1:$B$1</definedName>
    <definedName name="_xlnm._FilterDatabase" localSheetId="0" hidden="1">Sheet1!$A$3:$BD$3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1" i="1" l="1"/>
  <c r="BD11" i="1" s="1"/>
  <c r="AW10" i="1"/>
  <c r="AW7" i="1"/>
  <c r="AW19" i="1"/>
  <c r="AW20" i="1"/>
  <c r="AW21" i="1"/>
  <c r="AW13" i="1"/>
  <c r="AW8" i="1"/>
  <c r="AW18" i="1"/>
  <c r="AW9" i="1"/>
  <c r="AW15" i="1"/>
  <c r="AW22" i="1"/>
  <c r="AW5" i="1"/>
  <c r="AW17" i="1"/>
  <c r="AW12" i="1"/>
  <c r="AW4" i="1"/>
  <c r="AW14" i="1"/>
  <c r="AW6" i="1"/>
  <c r="AW16" i="1"/>
  <c r="AU10" i="1"/>
  <c r="AU7" i="1"/>
  <c r="AU19" i="1"/>
  <c r="AU20" i="1"/>
  <c r="AU18" i="1"/>
  <c r="AU21" i="1"/>
  <c r="AU13" i="1"/>
  <c r="AU8" i="1"/>
  <c r="AU9" i="1"/>
  <c r="AU15" i="1"/>
  <c r="AU22" i="1"/>
  <c r="AU5" i="1"/>
  <c r="AU17" i="1"/>
  <c r="AU12" i="1"/>
  <c r="AU4" i="1"/>
  <c r="AU23" i="1"/>
  <c r="AU14" i="1"/>
  <c r="AU16" i="1"/>
  <c r="AS10" i="1"/>
  <c r="AS7" i="1"/>
  <c r="AS19" i="1"/>
  <c r="AS20" i="1"/>
  <c r="AS21" i="1"/>
  <c r="AS13" i="1"/>
  <c r="AS8" i="1"/>
  <c r="AS18" i="1"/>
  <c r="AS9" i="1"/>
  <c r="AS15" i="1"/>
  <c r="AS22" i="1"/>
  <c r="AS5" i="1"/>
  <c r="AS17" i="1"/>
  <c r="AS12" i="1"/>
  <c r="AS4" i="1"/>
  <c r="AS23" i="1"/>
  <c r="AS14" i="1"/>
  <c r="AS6" i="1"/>
  <c r="AQ10" i="1"/>
  <c r="AQ7" i="1"/>
  <c r="AQ19" i="1"/>
  <c r="AQ20" i="1"/>
  <c r="AQ18" i="1"/>
  <c r="AQ21" i="1"/>
  <c r="AQ13" i="1"/>
  <c r="AQ8" i="1"/>
  <c r="AQ9" i="1"/>
  <c r="AQ15" i="1"/>
  <c r="AQ22" i="1"/>
  <c r="AQ5" i="1"/>
  <c r="AQ17" i="1"/>
  <c r="AQ12" i="1"/>
  <c r="AQ4" i="1"/>
  <c r="AQ23" i="1"/>
  <c r="AQ14" i="1"/>
  <c r="AQ6" i="1"/>
  <c r="AQ16" i="1"/>
  <c r="AM5" i="1"/>
  <c r="AM12" i="1"/>
  <c r="AM15" i="1"/>
  <c r="AM17" i="1"/>
  <c r="AM22" i="1"/>
  <c r="AM8" i="1"/>
  <c r="AM9" i="1"/>
  <c r="AM13" i="1"/>
  <c r="AM18" i="1"/>
  <c r="AM21" i="1"/>
  <c r="AM7" i="1"/>
  <c r="AM10" i="1"/>
  <c r="AM19" i="1"/>
  <c r="AO19" i="1" s="1"/>
  <c r="AM20" i="1"/>
  <c r="AO20" i="1" s="1"/>
  <c r="AM23" i="1"/>
  <c r="AG19" i="1"/>
  <c r="AG20" i="1"/>
  <c r="AG11" i="1"/>
  <c r="AM6" i="1"/>
  <c r="AM14" i="1"/>
  <c r="AM16" i="1"/>
  <c r="AM4" i="1"/>
  <c r="AC5" i="1"/>
  <c r="AG5" i="1" s="1"/>
  <c r="AC6" i="1"/>
  <c r="AG6" i="1" s="1"/>
  <c r="AC7" i="1"/>
  <c r="AG7" i="1" s="1"/>
  <c r="AC8" i="1"/>
  <c r="AG8" i="1" s="1"/>
  <c r="AC9" i="1"/>
  <c r="AG9" i="1" s="1"/>
  <c r="AC10" i="1"/>
  <c r="AG10" i="1" s="1"/>
  <c r="AC12" i="1"/>
  <c r="AG12" i="1" s="1"/>
  <c r="AC13" i="1"/>
  <c r="AG13" i="1" s="1"/>
  <c r="AC14" i="1"/>
  <c r="AG14" i="1" s="1"/>
  <c r="AC15" i="1"/>
  <c r="AG15" i="1" s="1"/>
  <c r="AC16" i="1"/>
  <c r="AG16" i="1" s="1"/>
  <c r="AC17" i="1"/>
  <c r="AG17" i="1" s="1"/>
  <c r="AC18" i="1"/>
  <c r="AG18" i="1" s="1"/>
  <c r="AC21" i="1"/>
  <c r="AG21" i="1" s="1"/>
  <c r="AC22" i="1"/>
  <c r="AG22" i="1" s="1"/>
  <c r="AC23" i="1"/>
  <c r="AG23" i="1" s="1"/>
  <c r="AC4" i="1"/>
  <c r="AG4" i="1" s="1"/>
  <c r="R5" i="1"/>
  <c r="R6" i="1"/>
  <c r="R7" i="1"/>
  <c r="R8" i="1"/>
  <c r="R9" i="1"/>
  <c r="R10" i="1"/>
  <c r="R12" i="1"/>
  <c r="R13" i="1"/>
  <c r="R14" i="1"/>
  <c r="R15" i="1"/>
  <c r="R16" i="1"/>
  <c r="R17" i="1"/>
  <c r="R18" i="1"/>
  <c r="R19" i="1"/>
  <c r="R20" i="1"/>
  <c r="R21" i="1"/>
  <c r="R22" i="1"/>
  <c r="R23" i="1"/>
  <c r="R4" i="1"/>
  <c r="H6" i="1" a="1"/>
  <c r="H6" i="1" s="1"/>
  <c r="H14" i="1" a="1"/>
  <c r="H14" i="1" s="1"/>
  <c r="H23" i="1" a="1"/>
  <c r="H23" i="1" s="1"/>
  <c r="H4" i="1" a="1"/>
  <c r="H4" i="1" s="1"/>
  <c r="H16" i="1" a="1"/>
  <c r="H16" i="1" s="1"/>
  <c r="H19" i="1" a="1"/>
  <c r="H19" i="1" s="1"/>
  <c r="H7" i="1" a="1"/>
  <c r="H7" i="1" s="1"/>
  <c r="H10" i="1" a="1"/>
  <c r="H10" i="1" s="1"/>
  <c r="H20" i="1" a="1"/>
  <c r="H20" i="1" s="1"/>
  <c r="H18" i="1" a="1"/>
  <c r="H18" i="1" s="1"/>
  <c r="H8" i="1" a="1"/>
  <c r="H8" i="1" s="1"/>
  <c r="H13" i="1" a="1"/>
  <c r="H13" i="1" s="1"/>
  <c r="H21" i="1" a="1"/>
  <c r="H21" i="1" s="1"/>
  <c r="H9" i="1" a="1"/>
  <c r="H9" i="1" s="1"/>
  <c r="H12" i="1" a="1"/>
  <c r="H12" i="1" s="1"/>
  <c r="H15" i="1" a="1"/>
  <c r="H15" i="1" s="1"/>
  <c r="H22" i="1" a="1"/>
  <c r="H22" i="1" s="1"/>
  <c r="H5" i="1" a="1"/>
  <c r="H5" i="1" s="1"/>
  <c r="H17" i="1" a="1"/>
  <c r="H17" i="1" s="1"/>
  <c r="T6" i="1"/>
  <c r="T14" i="1"/>
  <c r="T16" i="1"/>
  <c r="T23" i="1"/>
  <c r="T5" i="1"/>
  <c r="T12" i="1"/>
  <c r="T15" i="1"/>
  <c r="T17" i="1"/>
  <c r="T22" i="1"/>
  <c r="T8" i="1"/>
  <c r="T9" i="1"/>
  <c r="T13" i="1"/>
  <c r="T18" i="1"/>
  <c r="T21" i="1"/>
  <c r="T7" i="1"/>
  <c r="T10" i="1"/>
  <c r="T19" i="1"/>
  <c r="T20" i="1"/>
  <c r="T4" i="1"/>
  <c r="AX4" i="1" l="1"/>
  <c r="BB4" i="1" s="1"/>
  <c r="AX6" i="1"/>
  <c r="BB6" i="1" s="1"/>
  <c r="AX8" i="1"/>
  <c r="BB8" i="1" s="1"/>
  <c r="AX22" i="1"/>
  <c r="BB22" i="1" s="1"/>
  <c r="AX14" i="1"/>
  <c r="BB14" i="1" s="1"/>
  <c r="AX19" i="1"/>
  <c r="BB19" i="1" s="1"/>
  <c r="AX23" i="1"/>
  <c r="BB23" i="1" s="1"/>
  <c r="AX20" i="1"/>
  <c r="BB20" i="1" s="1"/>
  <c r="AX12" i="1"/>
  <c r="BB12" i="1" s="1"/>
  <c r="AX5" i="1"/>
  <c r="BB5" i="1" s="1"/>
  <c r="AX15" i="1"/>
  <c r="BB15" i="1" s="1"/>
  <c r="AX9" i="1"/>
  <c r="BB9" i="1" s="1"/>
  <c r="AX16" i="1"/>
  <c r="BB16" i="1" s="1"/>
  <c r="AX13" i="1"/>
  <c r="BB13" i="1" s="1"/>
  <c r="AX7" i="1"/>
  <c r="BB7" i="1" s="1"/>
  <c r="AX21" i="1"/>
  <c r="BB21" i="1" s="1"/>
  <c r="AX17" i="1"/>
  <c r="BB17" i="1" s="1"/>
  <c r="AX10" i="1"/>
  <c r="BB10" i="1" s="1"/>
  <c r="AX18" i="1"/>
  <c r="BB18" i="1" s="1"/>
  <c r="W23" i="1"/>
  <c r="AO23" i="1" s="1"/>
  <c r="AO7" i="1"/>
  <c r="AO6" i="1"/>
  <c r="W15" i="1"/>
  <c r="AO15" i="1" s="1"/>
  <c r="W22" i="1"/>
  <c r="AO22" i="1" s="1"/>
  <c r="W5" i="1"/>
  <c r="AO5" i="1" s="1"/>
  <c r="W14" i="1"/>
  <c r="AO14" i="1" s="1"/>
  <c r="W12" i="1"/>
  <c r="AO12" i="1" s="1"/>
  <c r="W9" i="1"/>
  <c r="AO9" i="1" s="1"/>
  <c r="W20" i="1"/>
  <c r="W17" i="1"/>
  <c r="AO17" i="1" s="1"/>
  <c r="W8" i="1"/>
  <c r="AO8" i="1" s="1"/>
  <c r="W4" i="1"/>
  <c r="AO4" i="1" s="1"/>
  <c r="W16" i="1"/>
  <c r="AO16" i="1" s="1"/>
  <c r="W19" i="1"/>
  <c r="W21" i="1"/>
  <c r="AO21" i="1" s="1"/>
  <c r="W13" i="1"/>
  <c r="AO13" i="1" s="1"/>
  <c r="W10" i="1"/>
  <c r="AO10" i="1" s="1"/>
  <c r="N17" i="1"/>
  <c r="N21" i="1"/>
  <c r="N15" i="1"/>
  <c r="N5" i="1"/>
  <c r="N22" i="1"/>
  <c r="N12" i="1"/>
  <c r="N6" i="1"/>
  <c r="L17" i="1" l="1"/>
  <c r="P17" i="1" s="1"/>
  <c r="BD17" i="1" s="1"/>
  <c r="L22" i="1"/>
  <c r="P22" i="1" s="1"/>
  <c r="BD22" i="1" s="1"/>
  <c r="L12" i="1"/>
  <c r="P12" i="1" s="1"/>
  <c r="BD12" i="1" s="1"/>
  <c r="L15" i="1"/>
  <c r="P15" i="1" s="1"/>
  <c r="BD15" i="1" s="1"/>
  <c r="L9" i="1"/>
  <c r="P9" i="1" s="1"/>
  <c r="BD9" i="1" s="1"/>
  <c r="L18" i="1"/>
  <c r="P18" i="1" s="1"/>
  <c r="BD18" i="1" s="1"/>
  <c r="L21" i="1"/>
  <c r="P21" i="1" s="1"/>
  <c r="BD21" i="1" s="1"/>
  <c r="L8" i="1"/>
  <c r="P8" i="1" s="1"/>
  <c r="BD8" i="1" s="1"/>
  <c r="L13" i="1"/>
  <c r="P13" i="1" s="1"/>
  <c r="BD13" i="1" s="1"/>
  <c r="L7" i="1"/>
  <c r="P7" i="1" s="1"/>
  <c r="BD7" i="1" s="1"/>
  <c r="L10" i="1"/>
  <c r="P10" i="1" s="1"/>
  <c r="BD10" i="1" s="1"/>
  <c r="L19" i="1"/>
  <c r="P19" i="1" s="1"/>
  <c r="BD19" i="1" s="1"/>
  <c r="L20" i="1"/>
  <c r="P20" i="1" s="1"/>
  <c r="BD20" i="1" s="1"/>
  <c r="L4" i="1"/>
  <c r="P4" i="1" s="1"/>
  <c r="BD4" i="1" s="1"/>
  <c r="L6" i="1"/>
  <c r="P6" i="1" s="1"/>
  <c r="BD6" i="1" s="1"/>
  <c r="L23" i="1"/>
  <c r="P23" i="1" s="1"/>
  <c r="BD23" i="1" s="1"/>
  <c r="L16" i="1"/>
  <c r="P16" i="1" s="1"/>
  <c r="BD16" i="1" s="1"/>
  <c r="L14" i="1"/>
  <c r="P14" i="1" s="1"/>
  <c r="BD14" i="1" s="1"/>
  <c r="L5" i="1"/>
  <c r="P5" i="1" s="1"/>
  <c r="BD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<sst xmlns="http://schemas.openxmlformats.org/spreadsheetml/2006/main" count="242" uniqueCount="161">
  <si>
    <t>email</t>
  </si>
  <si>
    <t>juan_dav.acosta@uao.edu.co</t>
  </si>
  <si>
    <t>nayer.avila@uao.edu.co</t>
  </si>
  <si>
    <t>lauren.calixto@uao.edu.co</t>
  </si>
  <si>
    <t>juan.castrillnn@uao.edu.co</t>
  </si>
  <si>
    <t>maura.castro@uao.edu.co</t>
  </si>
  <si>
    <t>jose.chamorro@uao.edu.co</t>
  </si>
  <si>
    <t>johan.cosme@uao.edu.co</t>
  </si>
  <si>
    <t>catalina.devia@uao.edu.co</t>
  </si>
  <si>
    <t>maria_del.duque@uao.edu.co</t>
  </si>
  <si>
    <t>juan_j.garcia@uao.edu.co</t>
  </si>
  <si>
    <t>claudia.holguin@uao.edu.co</t>
  </si>
  <si>
    <t>breylin.jimenez@uao.edu.co</t>
  </si>
  <si>
    <t>oriana.monznn@uao.edu.co</t>
  </si>
  <si>
    <t>sarah.mora@uao.edu.co</t>
  </si>
  <si>
    <t>martin.romero@uao.edu.co</t>
  </si>
  <si>
    <t>ana_maria.toro@uao.edu.co</t>
  </si>
  <si>
    <t>juan.umana@uao.edu.co</t>
  </si>
  <si>
    <t>elizabeth.vasquez@uao.edu.co</t>
  </si>
  <si>
    <t>juan.vernaza@uao.edu.co</t>
  </si>
  <si>
    <t>ACOSTA CASTRO</t>
  </si>
  <si>
    <t xml:space="preserve"> JUAN DAVID</t>
  </si>
  <si>
    <t>AVILA OVIEDO</t>
  </si>
  <si>
    <t xml:space="preserve"> NAYER ISABELLA</t>
  </si>
  <si>
    <t>CALIXTO AVENDAÑO</t>
  </si>
  <si>
    <t xml:space="preserve"> LAUREN NICOLE</t>
  </si>
  <si>
    <t>CASTRILLON SALAZAR</t>
  </si>
  <si>
    <t xml:space="preserve"> JUAN DIEGO</t>
  </si>
  <si>
    <t>CASTRO MOTTA</t>
  </si>
  <si>
    <t xml:space="preserve"> MAURA FERNANDA</t>
  </si>
  <si>
    <t>CHAMORRO ARRECHEA</t>
  </si>
  <si>
    <t xml:space="preserve"> JOSE ANGEL</t>
  </si>
  <si>
    <t>COSME ARANZAZU</t>
  </si>
  <si>
    <t xml:space="preserve"> JOHAN STEVEN</t>
  </si>
  <si>
    <t>DEVIA GALINDEZ</t>
  </si>
  <si>
    <t xml:space="preserve"> CATALINA</t>
  </si>
  <si>
    <t>DUQUE VARGAS</t>
  </si>
  <si>
    <t xml:space="preserve"> MARIA DEL MAR</t>
  </si>
  <si>
    <t>GARCIA CARABALI</t>
  </si>
  <si>
    <t xml:space="preserve"> JUAN JOSE</t>
  </si>
  <si>
    <t>HOLGUIN VELEZ</t>
  </si>
  <si>
    <t xml:space="preserve"> CLAUDIA PAOLA</t>
  </si>
  <si>
    <t>JIMENEZ GRANADA</t>
  </si>
  <si>
    <t xml:space="preserve"> BREYLIN SANTIAGO</t>
  </si>
  <si>
    <t>MONZON SANDOVAL</t>
  </si>
  <si>
    <t xml:space="preserve"> ORIANA</t>
  </si>
  <si>
    <t>MORA SABOGAL</t>
  </si>
  <si>
    <t xml:space="preserve"> SARAH LUCIA</t>
  </si>
  <si>
    <t>ROMERO TURIZO</t>
  </si>
  <si>
    <t xml:space="preserve"> MARTIN DE JESUS</t>
  </si>
  <si>
    <t>TORO AGUIRRE</t>
  </si>
  <si>
    <t xml:space="preserve"> ANA MARIA</t>
  </si>
  <si>
    <t>UMAÑA GRAJALES</t>
  </si>
  <si>
    <t>VASQUEZ RIVAS</t>
  </si>
  <si>
    <t xml:space="preserve"> ELIZABETH</t>
  </si>
  <si>
    <t>VERNAZA TOVAR</t>
  </si>
  <si>
    <t xml:space="preserve"> JUAN FELIPE</t>
  </si>
  <si>
    <t>Nombre</t>
  </si>
  <si>
    <t>Apellidos</t>
  </si>
  <si>
    <t>Grupo</t>
  </si>
  <si>
    <t>GitHubUser</t>
  </si>
  <si>
    <t>NayerAvila</t>
  </si>
  <si>
    <t>anamariatoro</t>
  </si>
  <si>
    <t>jsteven12</t>
  </si>
  <si>
    <t>mrturizo</t>
  </si>
  <si>
    <t>felipevernaza</t>
  </si>
  <si>
    <t>orianamonzon</t>
  </si>
  <si>
    <t>jchamo26</t>
  </si>
  <si>
    <t>LaurenCalixto</t>
  </si>
  <si>
    <t>liz394</t>
  </si>
  <si>
    <t>juanjose98gc</t>
  </si>
  <si>
    <t>SJimenez24</t>
  </si>
  <si>
    <t>juanditauao</t>
  </si>
  <si>
    <t>maumottxs</t>
  </si>
  <si>
    <t>Saritakoala</t>
  </si>
  <si>
    <t>JuandAcostac</t>
  </si>
  <si>
    <t>Hora</t>
  </si>
  <si>
    <t>Turno</t>
  </si>
  <si>
    <t>catalinadevia</t>
  </si>
  <si>
    <t>mariadm3</t>
  </si>
  <si>
    <t>TAC</t>
  </si>
  <si>
    <t>TC</t>
  </si>
  <si>
    <t>QT</t>
  </si>
  <si>
    <t>FC</t>
  </si>
  <si>
    <t>Nota 1</t>
  </si>
  <si>
    <t>Factor</t>
  </si>
  <si>
    <t>Explicación</t>
  </si>
  <si>
    <t>Número de Tareas asignadas en Cronograma</t>
  </si>
  <si>
    <t>Tareas Cumplidas, verificadas por el commit y las evidencias</t>
  </si>
  <si>
    <t>Calidad de las tareas (promedio de las notas de las tareas cumplidas)</t>
  </si>
  <si>
    <t>Factor de Cumplimiento  (TC/TAC)*QT</t>
  </si>
  <si>
    <t>VIIE</t>
  </si>
  <si>
    <t>Concepto VIIE</t>
  </si>
  <si>
    <t>PaolaHol</t>
  </si>
  <si>
    <t>JuanDiPro1204</t>
  </si>
  <si>
    <t>Bonus</t>
  </si>
  <si>
    <t>Pitch</t>
  </si>
  <si>
    <t>presentación del pitch</t>
  </si>
  <si>
    <t xml:space="preserve">Bonificación por iniciativa de trabajo (tareas adicionales/total de tareas) </t>
  </si>
  <si>
    <t>DI</t>
  </si>
  <si>
    <t>0.7*FC+0.2*VIIE+0.1*Pitch+Bonus</t>
  </si>
  <si>
    <t>DELGADO MATABANCHOY</t>
  </si>
  <si>
    <t>T. Conexión</t>
  </si>
  <si>
    <t>%Asistencia</t>
  </si>
  <si>
    <t>Fecha:</t>
  </si>
  <si>
    <t>T. Encuentro:</t>
  </si>
  <si>
    <t xml:space="preserve"> JUAN SEBASTIAN</t>
  </si>
  <si>
    <t>Pregunta Extra</t>
  </si>
  <si>
    <t>PREGUNTA PARA GRUPO 1</t>
  </si>
  <si>
    <t>PREGUNTA PARA GRUPO 2</t>
  </si>
  <si>
    <t>PREGUNTA PARA GRUPO 3</t>
  </si>
  <si>
    <t>PREGUNTA PARA GRUPO 4</t>
  </si>
  <si>
    <t>Nota Asistencia</t>
  </si>
  <si>
    <t>Expo</t>
  </si>
  <si>
    <t>Resp</t>
  </si>
  <si>
    <t>JUAN DAVID ACOSTA CASTRO</t>
  </si>
  <si>
    <t>JUAN FELIPE VERNAZA TOVAR</t>
  </si>
  <si>
    <t>JUAN JOSE GARCIA CARABALI</t>
  </si>
  <si>
    <t>LAUREN NICOLE CALIXTO AVENDAÑO</t>
  </si>
  <si>
    <t>BREYLIN SANTIAGO JIMÉNEZ</t>
  </si>
  <si>
    <t>CATALINA DEVIA GALINDEZ</t>
  </si>
  <si>
    <t>CLAUDIA PAOLA HOLGUIN VELEZ</t>
  </si>
  <si>
    <t>ELIZABETH VASQUEZ RIVAS</t>
  </si>
  <si>
    <t>NAYER ISABELLA AVILA OVIEDO</t>
  </si>
  <si>
    <t>ORIANA MONZON SANDOVAL</t>
  </si>
  <si>
    <t>JOSE ANGEL CHAMORRO ARRECHEA</t>
  </si>
  <si>
    <t>JUAN DAVID UMAÑA GRAJALES</t>
  </si>
  <si>
    <t>MARIA DEL MAR DUQUE VARGAS</t>
  </si>
  <si>
    <t>MAURA FERNANDA CASTRO MOTTA</t>
  </si>
  <si>
    <t xml:space="preserve">SARAH LUCIA MORA SABOGAL </t>
  </si>
  <si>
    <t>ANA MARIA TORO AGUIRRE</t>
  </si>
  <si>
    <t>JOHAN STEVEN COSME ARANZAZU</t>
  </si>
  <si>
    <t>JUAN DIEGO CASTRILLON SALAZAR</t>
  </si>
  <si>
    <t>MARTIN DE JESUS ROMERO TURIZO</t>
  </si>
  <si>
    <t>NN</t>
  </si>
  <si>
    <t>Not</t>
  </si>
  <si>
    <t>Nota Expo Compañeros</t>
  </si>
  <si>
    <t>Nota Preguntas</t>
  </si>
  <si>
    <t>Aplicación de  Normas</t>
  </si>
  <si>
    <t>Diseño de Detalle</t>
  </si>
  <si>
    <t>Prototipo</t>
  </si>
  <si>
    <t>Pruebas Usabilidad</t>
  </si>
  <si>
    <t>Alineación con términos de Referencia Convocatoria FOAL</t>
  </si>
  <si>
    <t>Nota 2o Corte</t>
  </si>
  <si>
    <t>Nota Avances 2o Corte</t>
  </si>
  <si>
    <t>Nota Evaluación por Pares</t>
  </si>
  <si>
    <t>Planos/UI/MockUps/Simulaciones</t>
  </si>
  <si>
    <t>No se les tuvo en cuenta evaluación por pares</t>
  </si>
  <si>
    <t>JUAN DIEGO CASTRILLNN SALAZAR</t>
  </si>
  <si>
    <t>LAUREN NICOLE CALIXTO AVENDANO</t>
  </si>
  <si>
    <t>Oscar Ivan Campo Salazar</t>
  </si>
  <si>
    <t>SARAH LUCIA MORA SABOGAL</t>
  </si>
  <si>
    <t>oriana Monzon</t>
  </si>
  <si>
    <t>Asistencia 3er Corte</t>
  </si>
  <si>
    <t>Documento Capstone Project</t>
  </si>
  <si>
    <t>SO ABET</t>
  </si>
  <si>
    <t>Presentación final</t>
  </si>
  <si>
    <t>Nota VIIE</t>
  </si>
  <si>
    <t>Nota 3er Corte</t>
  </si>
  <si>
    <t>Definitiva</t>
  </si>
  <si>
    <t>Nota 1er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</si>
</sst>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0"/>
      <color rgb="FF1F1F1F"/>
      <name val="Google Sans"/>
    </font>
    <font>
      <sz val="12"/>
      <color rgb="FF222222"/>
      <name val="Arial"/>
      <family val="2"/>
    </font>
    <font>
      <sz val="11"/>
      <color theme="1"/>
      <name val="Arial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0" xfId="0" applyFont="1" applyAlignment="1">
      <alignment horizontal="center" vertical="center" wrapText="1"/>
    </xf>
    <xf numFmtId="2" fontId="0" fillId="2" borderId="10" xfId="0" applyNumberForma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3" borderId="11" xfId="0" applyFont="1" applyFill="1" applyBorder="1" applyAlignment="1">
      <alignment wrapText="1"/>
    </xf>
    <xf numFmtId="0" fontId="5" fillId="3" borderId="11" xfId="0" applyFont="1" applyFill="1" applyBorder="1"/>
    <xf numFmtId="0" fontId="5" fillId="3" borderId="12" xfId="0" applyFont="1" applyFill="1" applyBorder="1"/>
    <xf numFmtId="0" fontId="0" fillId="2" borderId="13" xfId="0" applyFill="1" applyBorder="1" applyAlignment="1">
      <alignment horizontal="center" vertical="center" wrapText="1"/>
    </xf>
    <xf numFmtId="2" fontId="0" fillId="2" borderId="13" xfId="0" applyNumberForma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4" fillId="5" borderId="1" xfId="0" applyFont="1" applyFill="1" applyBorder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 vertical="center"/>
    </xf>
    <xf numFmtId="0" fontId="0" fillId="5" borderId="0" xfId="0" applyFill="1"/>
    <xf numFmtId="0" fontId="2" fillId="5" borderId="1" xfId="0" applyFont="1" applyFill="1" applyBorder="1"/>
    <xf numFmtId="2" fontId="0" fillId="6" borderId="0" xfId="0" applyNumberFormat="1" applyFill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21" fontId="0" fillId="0" borderId="0" xfId="0" applyNumberFormat="1"/>
    <xf numFmtId="0" fontId="0" fillId="0" borderId="0" xfId="0" applyAlignment="1">
      <alignment horizontal="right"/>
    </xf>
    <xf numFmtId="15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2" fontId="0" fillId="2" borderId="15" xfId="0" applyNumberFormat="1" applyFill="1" applyBorder="1" applyAlignment="1">
      <alignment horizontal="center" vertical="center" wrapText="1"/>
    </xf>
    <xf numFmtId="2" fontId="0" fillId="2" borderId="16" xfId="0" applyNumberFormat="1" applyFill="1" applyBorder="1" applyAlignment="1">
      <alignment horizontal="center" vertical="center" wrapText="1"/>
    </xf>
    <xf numFmtId="9" fontId="0" fillId="8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0" fillId="2" borderId="14" xfId="0" applyNumberFormat="1" applyFill="1" applyBorder="1" applyAlignment="1">
      <alignment horizontal="center" vertical="center" wrapText="1"/>
    </xf>
    <xf numFmtId="9" fontId="0" fillId="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21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9" fontId="0" fillId="8" borderId="5" xfId="0" applyNumberForma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D9A77-FA34-49D2-8C1C-73765D0BB16B}" name="Table2" displayName="Table2" ref="A1:B9" totalsRowShown="0" headerRowDxfId="5" headerRowBorderDxfId="4" tableBorderDxfId="3" totalsRowBorderDxfId="2">
  <tableColumns count="2">
    <tableColumn id="1" xr3:uid="{F1BCB088-F16A-44DE-A75B-8FBE9558B2DE}" name="Factor" dataDxfId="1"/>
    <tableColumn id="2" xr3:uid="{6492F7EB-1333-4A82-A7C9-6BB4CA52A3B2}" name="Explicación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7"/>
  <sheetViews>
    <sheetView tabSelected="1" zoomScale="130" zoomScaleNormal="130" workbookViewId="0">
      <selection activeCell="D4" sqref="D4:D23"/>
    </sheetView>
  </sheetViews>
  <sheetFormatPr defaultColWidth="35.5703125" defaultRowHeight="15"/>
  <cols>
    <col min="1" max="1" width="16.140625" style="1" customWidth="1"/>
    <col min="2" max="2" width="24.140625" customWidth="1"/>
    <col min="3" max="3" width="18.5703125" customWidth="1"/>
    <col min="4" max="4" width="29.140625" customWidth="1"/>
    <col min="5" max="5" width="6.42578125" style="1" customWidth="1"/>
    <col min="6" max="6" width="13.85546875" hidden="1" customWidth="1"/>
    <col min="7" max="7" width="6.140625" style="1" hidden="1" customWidth="1"/>
    <col min="8" max="8" width="7.85546875" hidden="1" customWidth="1"/>
    <col min="9" max="9" width="4.42578125" style="15" hidden="1" customWidth="1"/>
    <col min="10" max="10" width="3.140625" style="1" hidden="1" customWidth="1"/>
    <col min="11" max="11" width="4" style="1" hidden="1" customWidth="1"/>
    <col min="12" max="12" width="3.5703125" hidden="1" customWidth="1"/>
    <col min="13" max="13" width="4.5703125" style="13" hidden="1" customWidth="1"/>
    <col min="14" max="14" width="6.42578125" style="13" hidden="1" customWidth="1"/>
    <col min="15" max="15" width="5.42578125" style="13" hidden="1" customWidth="1"/>
    <col min="16" max="16" width="10.42578125" bestFit="1" customWidth="1"/>
    <col min="17" max="17" width="12.5703125" hidden="1" customWidth="1"/>
    <col min="18" max="18" width="11.5703125" style="1" hidden="1" customWidth="1"/>
    <col min="19" max="19" width="12.5703125" hidden="1" customWidth="1"/>
    <col min="20" max="20" width="11.5703125" hidden="1" customWidth="1"/>
    <col min="21" max="21" width="12.5703125" hidden="1" customWidth="1"/>
    <col min="22" max="22" width="11.5703125" hidden="1" customWidth="1"/>
    <col min="23" max="23" width="14.7109375" hidden="1" customWidth="1"/>
    <col min="24" max="24" width="12.7109375" hidden="1" customWidth="1"/>
    <col min="25" max="25" width="12.42578125" hidden="1" customWidth="1"/>
    <col min="26" max="26" width="13.28515625" hidden="1" customWidth="1"/>
    <col min="27" max="27" width="12.42578125" hidden="1" customWidth="1"/>
    <col min="28" max="29" width="8" hidden="1" customWidth="1"/>
    <col min="30" max="31" width="5.28515625" hidden="1" customWidth="1"/>
    <col min="32" max="33" width="12" style="1" hidden="1" customWidth="1"/>
    <col min="34" max="34" width="11.5703125" style="1" hidden="1" customWidth="1"/>
    <col min="35" max="35" width="12.140625" style="1" hidden="1" customWidth="1"/>
    <col min="36" max="36" width="19.140625" style="1" hidden="1" customWidth="1"/>
    <col min="37" max="37" width="9.5703125" style="1" hidden="1" customWidth="1"/>
    <col min="38" max="38" width="11.42578125" style="1" hidden="1" customWidth="1"/>
    <col min="39" max="39" width="14.42578125" style="1" hidden="1" customWidth="1"/>
    <col min="40" max="40" width="22.28515625" style="1" hidden="1" customWidth="1"/>
    <col min="41" max="41" width="8.140625" style="1" customWidth="1"/>
    <col min="42" max="42" width="13.28515625" hidden="1" customWidth="1"/>
    <col min="43" max="43" width="11.5703125" hidden="1" customWidth="1"/>
    <col min="44" max="44" width="13.28515625" hidden="1" customWidth="1"/>
    <col min="45" max="45" width="11.5703125" hidden="1" customWidth="1"/>
    <col min="46" max="46" width="13.28515625" hidden="1" customWidth="1"/>
    <col min="47" max="47" width="11.5703125" hidden="1" customWidth="1"/>
    <col min="48" max="48" width="16" style="1" hidden="1" customWidth="1"/>
    <col min="49" max="49" width="11.28515625" style="1" hidden="1" customWidth="1"/>
    <col min="50" max="51" width="10.5703125" style="1" customWidth="1"/>
    <col min="52" max="52" width="8.28515625" style="1" bestFit="1" customWidth="1"/>
    <col min="53" max="53" width="12.140625" style="1" customWidth="1"/>
    <col min="54" max="54" width="9.42578125" bestFit="1" customWidth="1"/>
    <col min="55" max="55" width="13.85546875" style="1" bestFit="1" customWidth="1"/>
    <col min="56" max="56" width="9.7109375" bestFit="1" customWidth="1"/>
  </cols>
  <sheetData>
    <row r="1" spans="1:56">
      <c r="P1" s="54">
        <v>0.25</v>
      </c>
      <c r="Q1" s="55" t="s">
        <v>104</v>
      </c>
      <c r="R1" s="56">
        <v>45912</v>
      </c>
      <c r="S1" s="55" t="s">
        <v>104</v>
      </c>
      <c r="T1" s="56">
        <v>45926</v>
      </c>
      <c r="U1" s="55" t="s">
        <v>104</v>
      </c>
      <c r="V1" s="56">
        <v>45933</v>
      </c>
      <c r="W1" s="56"/>
      <c r="X1" s="55"/>
      <c r="Y1" s="55"/>
      <c r="Z1" s="55"/>
      <c r="AA1" s="55"/>
      <c r="AB1" s="55"/>
      <c r="AC1" s="55"/>
      <c r="AD1" s="55"/>
      <c r="AE1" s="55"/>
      <c r="AF1" s="14"/>
      <c r="AG1" s="14"/>
      <c r="AH1" s="14"/>
      <c r="AI1" s="14"/>
      <c r="AJ1" s="14"/>
      <c r="AK1" s="14"/>
      <c r="AL1" s="14"/>
      <c r="AM1" s="14"/>
      <c r="AN1" s="14"/>
      <c r="AO1" s="54">
        <v>0.25</v>
      </c>
      <c r="AP1" s="45" t="s">
        <v>104</v>
      </c>
      <c r="AQ1" s="46">
        <v>45954</v>
      </c>
      <c r="AR1" s="45" t="s">
        <v>104</v>
      </c>
      <c r="AS1" s="46">
        <v>45961</v>
      </c>
      <c r="AT1" s="45" t="s">
        <v>104</v>
      </c>
      <c r="AU1" s="46">
        <v>45968</v>
      </c>
      <c r="AV1" s="45" t="s">
        <v>104</v>
      </c>
      <c r="AW1" s="46">
        <v>45975</v>
      </c>
      <c r="BB1" s="61">
        <v>0.25</v>
      </c>
      <c r="BC1" s="54">
        <v>0.25</v>
      </c>
      <c r="BD1" s="54">
        <v>1</v>
      </c>
    </row>
    <row r="2" spans="1:56">
      <c r="P2" s="54"/>
      <c r="Q2" s="57" t="s">
        <v>105</v>
      </c>
      <c r="R2" s="58">
        <v>2.0833333333333332E-2</v>
      </c>
      <c r="S2" s="57" t="s">
        <v>105</v>
      </c>
      <c r="T2" s="58">
        <v>2.0833333333333332E-2</v>
      </c>
      <c r="U2" s="57" t="s">
        <v>105</v>
      </c>
      <c r="V2" s="58">
        <v>2.0833333333333332E-2</v>
      </c>
      <c r="W2" s="58"/>
      <c r="X2" s="57"/>
      <c r="Y2" s="57"/>
      <c r="Z2" s="57"/>
      <c r="AA2" s="57"/>
      <c r="AB2" s="57"/>
      <c r="AC2" s="57"/>
      <c r="AD2" s="57"/>
      <c r="AE2" s="57"/>
      <c r="AF2" s="59"/>
      <c r="AG2" s="59"/>
      <c r="AH2" s="59"/>
      <c r="AI2" s="59"/>
      <c r="AJ2" s="59"/>
      <c r="AK2" s="59"/>
      <c r="AL2" s="59"/>
      <c r="AM2" s="59"/>
      <c r="AN2" s="59"/>
      <c r="AO2" s="54"/>
      <c r="AP2" s="45" t="s">
        <v>105</v>
      </c>
      <c r="AQ2" s="47">
        <v>8.458333333333333E-2</v>
      </c>
      <c r="AR2" s="45" t="s">
        <v>105</v>
      </c>
      <c r="AS2" s="47">
        <v>7.8993055555555552E-2</v>
      </c>
      <c r="AT2" s="45" t="s">
        <v>105</v>
      </c>
      <c r="AU2" s="47">
        <v>9.5914351851851848E-2</v>
      </c>
      <c r="AV2" s="45" t="s">
        <v>105</v>
      </c>
      <c r="AW2" s="47">
        <v>7.3194444444444451E-2</v>
      </c>
      <c r="AX2" s="50">
        <v>0.15</v>
      </c>
      <c r="AY2" s="50">
        <v>0.3</v>
      </c>
      <c r="AZ2" s="50">
        <v>0.4</v>
      </c>
      <c r="BA2" s="60">
        <v>0.15</v>
      </c>
      <c r="BB2" s="50">
        <v>1</v>
      </c>
      <c r="BC2" s="54"/>
      <c r="BD2" s="54"/>
    </row>
    <row r="3" spans="1:56" s="22" customFormat="1" ht="45">
      <c r="A3" s="26" t="s">
        <v>99</v>
      </c>
      <c r="B3" s="26" t="s">
        <v>58</v>
      </c>
      <c r="C3" s="26" t="s">
        <v>57</v>
      </c>
      <c r="D3" s="26" t="s">
        <v>0</v>
      </c>
      <c r="E3" s="26" t="s">
        <v>59</v>
      </c>
      <c r="F3" s="26" t="s">
        <v>60</v>
      </c>
      <c r="G3" s="26" t="s">
        <v>77</v>
      </c>
      <c r="H3" s="26" t="s">
        <v>76</v>
      </c>
      <c r="I3" s="26" t="s">
        <v>80</v>
      </c>
      <c r="J3" s="26" t="s">
        <v>81</v>
      </c>
      <c r="K3" s="26" t="s">
        <v>82</v>
      </c>
      <c r="L3" s="26" t="s">
        <v>83</v>
      </c>
      <c r="M3" s="27" t="s">
        <v>91</v>
      </c>
      <c r="N3" s="27" t="s">
        <v>95</v>
      </c>
      <c r="O3" s="27" t="s">
        <v>96</v>
      </c>
      <c r="P3" s="52" t="s">
        <v>160</v>
      </c>
      <c r="Q3" s="20" t="s">
        <v>102</v>
      </c>
      <c r="R3" s="20" t="s">
        <v>103</v>
      </c>
      <c r="S3" s="20" t="s">
        <v>102</v>
      </c>
      <c r="T3" s="20" t="s">
        <v>103</v>
      </c>
      <c r="U3" s="20" t="s">
        <v>102</v>
      </c>
      <c r="V3" s="20" t="s">
        <v>103</v>
      </c>
      <c r="W3" s="39" t="s">
        <v>112</v>
      </c>
      <c r="X3" s="21" t="s">
        <v>108</v>
      </c>
      <c r="Y3" s="21" t="s">
        <v>109</v>
      </c>
      <c r="Z3" s="21" t="s">
        <v>110</v>
      </c>
      <c r="AA3" s="21" t="s">
        <v>111</v>
      </c>
      <c r="AB3" s="21" t="s">
        <v>107</v>
      </c>
      <c r="AC3" s="21" t="s">
        <v>137</v>
      </c>
      <c r="AD3" s="21" t="s">
        <v>113</v>
      </c>
      <c r="AE3" s="21" t="s">
        <v>114</v>
      </c>
      <c r="AF3" s="21" t="s">
        <v>136</v>
      </c>
      <c r="AG3" s="39" t="s">
        <v>145</v>
      </c>
      <c r="AH3" s="21" t="s">
        <v>138</v>
      </c>
      <c r="AI3" s="21" t="s">
        <v>139</v>
      </c>
      <c r="AJ3" s="21" t="s">
        <v>146</v>
      </c>
      <c r="AK3" s="21" t="s">
        <v>140</v>
      </c>
      <c r="AL3" s="21" t="s">
        <v>141</v>
      </c>
      <c r="AM3" s="39" t="s">
        <v>144</v>
      </c>
      <c r="AN3" s="39" t="s">
        <v>142</v>
      </c>
      <c r="AO3" s="53" t="s">
        <v>143</v>
      </c>
      <c r="AP3" s="20" t="s">
        <v>102</v>
      </c>
      <c r="AQ3" s="20" t="s">
        <v>103</v>
      </c>
      <c r="AR3" s="20" t="s">
        <v>102</v>
      </c>
      <c r="AS3" s="20" t="s">
        <v>103</v>
      </c>
      <c r="AT3" s="20" t="s">
        <v>102</v>
      </c>
      <c r="AU3" s="20" t="s">
        <v>103</v>
      </c>
      <c r="AV3" s="20" t="s">
        <v>102</v>
      </c>
      <c r="AW3" s="48" t="s">
        <v>103</v>
      </c>
      <c r="AX3" s="51" t="s">
        <v>153</v>
      </c>
      <c r="AY3" s="51" t="s">
        <v>155</v>
      </c>
      <c r="AZ3" s="51" t="s">
        <v>157</v>
      </c>
      <c r="BA3" s="51" t="s">
        <v>156</v>
      </c>
      <c r="BB3" s="53" t="s">
        <v>158</v>
      </c>
      <c r="BC3" s="49" t="s">
        <v>154</v>
      </c>
      <c r="BD3" s="20" t="s">
        <v>159</v>
      </c>
    </row>
    <row r="4" spans="1:56">
      <c r="A4" s="3">
        <v>1107836732</v>
      </c>
      <c r="B4" s="2" t="s">
        <v>20</v>
      </c>
      <c r="C4" s="2" t="s">
        <v>21</v>
      </c>
      <c r="D4" s="18" t="s">
        <v>1</v>
      </c>
      <c r="E4" s="3">
        <v>1</v>
      </c>
      <c r="F4" s="2" t="s">
        <v>75</v>
      </c>
      <c r="G4" s="3">
        <v>4</v>
      </c>
      <c r="H4" s="3" t="str" cm="1">
        <f t="array" ref="H4">_xlfn.IFS(G4=1, "2:00 PM", G4=2, "2:30 PM", G4=3, "3:00 PM", G4=4, "3:30 PM")</f>
        <v>3:30 PM</v>
      </c>
      <c r="I4" s="14">
        <v>3</v>
      </c>
      <c r="J4" s="3">
        <v>3</v>
      </c>
      <c r="K4" s="3">
        <v>4.5</v>
      </c>
      <c r="L4" s="5">
        <f>(J4/I4)*K4</f>
        <v>4.5</v>
      </c>
      <c r="M4" s="12">
        <v>3.59</v>
      </c>
      <c r="N4" s="12"/>
      <c r="O4" s="12">
        <v>4.5</v>
      </c>
      <c r="P4" s="5">
        <f>0.7*L4+0.2*M4+0.1*O4+N4</f>
        <v>4.3179999999999996</v>
      </c>
      <c r="Q4" s="5">
        <v>1.474537037037037E-2</v>
      </c>
      <c r="R4" s="5">
        <f>Q4/$R$2</f>
        <v>0.70777777777777784</v>
      </c>
      <c r="S4" s="5">
        <v>2.0833333333333332E-2</v>
      </c>
      <c r="T4" s="5">
        <f>S4/$T$2</f>
        <v>1</v>
      </c>
      <c r="U4" s="5">
        <v>1</v>
      </c>
      <c r="V4" s="5">
        <v>1</v>
      </c>
      <c r="W4" s="5">
        <f>AVERAGE(R4,T4,V4)*5</f>
        <v>4.5129629629629626</v>
      </c>
      <c r="X4" s="29"/>
      <c r="Y4" s="29"/>
      <c r="Z4" s="29"/>
      <c r="AA4" s="29">
        <v>4</v>
      </c>
      <c r="AB4" s="29"/>
      <c r="AC4" s="29">
        <f>AVERAGE(X4:AB4)</f>
        <v>4</v>
      </c>
      <c r="AD4" s="5">
        <v>4</v>
      </c>
      <c r="AE4" s="5">
        <v>0</v>
      </c>
      <c r="AF4" s="5">
        <v>4.0769230769230766</v>
      </c>
      <c r="AG4" s="5">
        <f>0.3*AF4+0.7*AVERAGE(AC4:AE4)</f>
        <v>3.0897435897435894</v>
      </c>
      <c r="AH4" s="5">
        <v>4.3</v>
      </c>
      <c r="AI4" s="5">
        <v>4</v>
      </c>
      <c r="AJ4" s="5">
        <v>4.5</v>
      </c>
      <c r="AK4" s="5">
        <v>4.8</v>
      </c>
      <c r="AL4" s="5">
        <v>4.5</v>
      </c>
      <c r="AM4" s="5">
        <f>AVERAGE(AH4:AL4)</f>
        <v>4.42</v>
      </c>
      <c r="AN4" s="5">
        <v>4</v>
      </c>
      <c r="AO4" s="5">
        <f>0.3*AN4+0.6*AM4+0.05*AG4+0.05*W4</f>
        <v>4.2321353276353273</v>
      </c>
      <c r="AP4" s="5">
        <v>0</v>
      </c>
      <c r="AQ4" s="5">
        <f>AP4/0.0170138888888889</f>
        <v>0</v>
      </c>
      <c r="AR4" s="5">
        <v>0</v>
      </c>
      <c r="AS4" s="5">
        <f>AR4/0.0163310185185185</f>
        <v>0</v>
      </c>
      <c r="AT4" s="5">
        <v>0</v>
      </c>
      <c r="AU4" s="5">
        <f>AT4/0.0328240740740741</f>
        <v>0</v>
      </c>
      <c r="AV4" s="5">
        <v>2.0821759259259259E-2</v>
      </c>
      <c r="AW4" s="5">
        <f>AV4/0.0208217592592593</f>
        <v>0.999999999999998</v>
      </c>
      <c r="AX4" s="5">
        <f>AVERAGE(AQ4,AS4,AU4,AW4)*5</f>
        <v>1.2499999999999976</v>
      </c>
      <c r="AY4" s="5">
        <v>4.5999999999999996</v>
      </c>
      <c r="AZ4" s="5">
        <v>3.65</v>
      </c>
      <c r="BA4" s="5">
        <v>3.8</v>
      </c>
      <c r="BB4" s="5">
        <f>AX4*$AX$2+AY4*$AY$2+AZ4*$AZ$2+BA4*$BA$2</f>
        <v>3.5974999999999993</v>
      </c>
      <c r="BC4" s="5">
        <v>4.83</v>
      </c>
      <c r="BD4" s="5">
        <f>AVERAGE(P4,AO4,BB4,BC4)</f>
        <v>4.2444088319088316</v>
      </c>
    </row>
    <row r="5" spans="1:56" s="37" customFormat="1">
      <c r="A5" s="30">
        <v>1005785832</v>
      </c>
      <c r="B5" s="31" t="s">
        <v>22</v>
      </c>
      <c r="C5" s="31" t="s">
        <v>23</v>
      </c>
      <c r="D5" s="32" t="s">
        <v>2</v>
      </c>
      <c r="E5" s="30">
        <v>2</v>
      </c>
      <c r="F5" s="31" t="s">
        <v>61</v>
      </c>
      <c r="G5" s="30">
        <v>1</v>
      </c>
      <c r="H5" s="30" t="str" cm="1">
        <f t="array" ref="H5">_xlfn.IFS(G5=1, "2:00 PM", G5=2, "2:30 PM", G5=3, "3:00 PM", G5=4, "3:30 PM")</f>
        <v>2:00 PM</v>
      </c>
      <c r="I5" s="33">
        <v>7</v>
      </c>
      <c r="J5" s="30">
        <v>7</v>
      </c>
      <c r="K5" s="34">
        <v>4.8</v>
      </c>
      <c r="L5" s="34">
        <f>(J5/I5)*K5</f>
        <v>4.8</v>
      </c>
      <c r="M5" s="35">
        <v>3.55</v>
      </c>
      <c r="N5" s="35">
        <f>1/20</f>
        <v>0.05</v>
      </c>
      <c r="O5" s="35">
        <v>4.7</v>
      </c>
      <c r="P5" s="34">
        <f>0.7*L5+0.2*M5+0.1*O5+N5</f>
        <v>4.59</v>
      </c>
      <c r="Q5" s="34">
        <v>1.5520833333333333E-2</v>
      </c>
      <c r="R5" s="34">
        <f>Q5/$R$2</f>
        <v>0.745</v>
      </c>
      <c r="S5" s="34">
        <v>2.0833333333333332E-2</v>
      </c>
      <c r="T5" s="34">
        <f>S5/$T$2</f>
        <v>1</v>
      </c>
      <c r="U5" s="34">
        <v>1</v>
      </c>
      <c r="V5" s="34">
        <v>0.8</v>
      </c>
      <c r="W5" s="40">
        <f>AVERAGE(R5,T5,V5)*5</f>
        <v>4.2416666666666663</v>
      </c>
      <c r="X5" s="36">
        <v>3</v>
      </c>
      <c r="Y5" s="36"/>
      <c r="Z5" s="36"/>
      <c r="AA5" s="36">
        <v>4</v>
      </c>
      <c r="AB5" s="36"/>
      <c r="AC5" s="36">
        <f>AVERAGE(X5:AB5)</f>
        <v>3.5</v>
      </c>
      <c r="AD5" s="34">
        <v>4.5</v>
      </c>
      <c r="AE5" s="34"/>
      <c r="AF5" s="34">
        <v>4.9285714285714288</v>
      </c>
      <c r="AG5" s="40">
        <f>0.2*AF5+0.8*AVERAGE(AC5:AE5)</f>
        <v>4.1857142857142859</v>
      </c>
      <c r="AH5" s="34">
        <v>4.8</v>
      </c>
      <c r="AI5" s="34">
        <v>4.8</v>
      </c>
      <c r="AJ5" s="34">
        <v>4.5</v>
      </c>
      <c r="AK5" s="34">
        <v>5</v>
      </c>
      <c r="AL5" s="34">
        <v>4.5</v>
      </c>
      <c r="AM5" s="40">
        <f>AVERAGE(AH5:AL5)</f>
        <v>4.7200000000000006</v>
      </c>
      <c r="AN5" s="40">
        <v>4.5</v>
      </c>
      <c r="AO5" s="5">
        <f>0.3*AN5+0.6*AM5+0.05*AG5+0.05*W5</f>
        <v>4.6033690476190481</v>
      </c>
      <c r="AP5" s="34">
        <v>2.3009259259259261E-2</v>
      </c>
      <c r="AQ5" s="34">
        <f>AP5/0.0230324074074074</f>
        <v>0.99899497487437217</v>
      </c>
      <c r="AR5" s="34">
        <v>1.6770833333333332E-2</v>
      </c>
      <c r="AS5" s="34">
        <f>AR5/0.0230324074074074</f>
        <v>0.72814070351758808</v>
      </c>
      <c r="AT5" s="34">
        <v>1.6238425925925927E-2</v>
      </c>
      <c r="AU5" s="34">
        <f>AT5/0.0162615740740741</f>
        <v>0.9985765124555146</v>
      </c>
      <c r="AV5" s="34">
        <v>8.2986111111111108E-3</v>
      </c>
      <c r="AW5" s="34">
        <f>AV5/0.0102314814814815</f>
        <v>0.81108597285067729</v>
      </c>
      <c r="AX5" s="34">
        <f>AVERAGE(AQ5,AS5,AU5,AW5)*5</f>
        <v>4.4209977046226898</v>
      </c>
      <c r="AY5" s="34">
        <v>4.8</v>
      </c>
      <c r="AZ5" s="34">
        <v>3.15</v>
      </c>
      <c r="BA5" s="34">
        <v>3.7</v>
      </c>
      <c r="BB5" s="5">
        <f>AX5*$AX$2+AY5*$AY$2+AZ5*$AZ$2+BA5*$BA$2</f>
        <v>3.9181496556934037</v>
      </c>
      <c r="BC5" s="5">
        <v>4.46</v>
      </c>
      <c r="BD5" s="5">
        <f>AVERAGE(P5,AO5,BB5,BC5)</f>
        <v>4.3928796758281123</v>
      </c>
    </row>
    <row r="6" spans="1:56">
      <c r="A6" s="3">
        <v>1110364376</v>
      </c>
      <c r="B6" s="2" t="s">
        <v>24</v>
      </c>
      <c r="C6" s="2" t="s">
        <v>25</v>
      </c>
      <c r="D6" s="18" t="s">
        <v>3</v>
      </c>
      <c r="E6" s="3">
        <v>1</v>
      </c>
      <c r="F6" s="2" t="s">
        <v>68</v>
      </c>
      <c r="G6" s="3">
        <v>4</v>
      </c>
      <c r="H6" s="3" t="str" cm="1">
        <f t="array" ref="H6">_xlfn.IFS(G6=1, "2:00 PM", G6=2, "2:30 PM", G6=3, "3:00 PM", G6=4, "3:30 PM")</f>
        <v>3:30 PM</v>
      </c>
      <c r="I6" s="14">
        <v>3</v>
      </c>
      <c r="J6" s="3">
        <v>3</v>
      </c>
      <c r="K6" s="3">
        <v>4.8</v>
      </c>
      <c r="L6" s="5">
        <f>(J6/I6)*K6</f>
        <v>4.8</v>
      </c>
      <c r="M6" s="12">
        <v>3.59</v>
      </c>
      <c r="N6" s="12">
        <f>1/16</f>
        <v>6.25E-2</v>
      </c>
      <c r="O6" s="12">
        <v>4.5</v>
      </c>
      <c r="P6" s="5">
        <f>0.7*L6+0.2*M6+0.1*O6+N6</f>
        <v>4.5904999999999996</v>
      </c>
      <c r="Q6" s="5">
        <v>1.412037037037037E-2</v>
      </c>
      <c r="R6" s="5">
        <f>Q6/$R$2</f>
        <v>0.67777777777777781</v>
      </c>
      <c r="S6" s="5">
        <v>0</v>
      </c>
      <c r="T6" s="5">
        <f>S6/$T$2</f>
        <v>0</v>
      </c>
      <c r="U6" s="5">
        <v>1</v>
      </c>
      <c r="V6" s="5">
        <v>0</v>
      </c>
      <c r="W6" s="5">
        <v>3</v>
      </c>
      <c r="X6" s="29"/>
      <c r="Y6" s="29">
        <v>2</v>
      </c>
      <c r="Z6" s="29">
        <v>2</v>
      </c>
      <c r="AA6" s="29"/>
      <c r="AB6" s="29"/>
      <c r="AC6" s="29">
        <f>AVERAGE(X6:AB6)</f>
        <v>2</v>
      </c>
      <c r="AD6" s="5">
        <v>4.5</v>
      </c>
      <c r="AE6" s="5">
        <v>4</v>
      </c>
      <c r="AF6" s="5">
        <v>4.9230769230769234</v>
      </c>
      <c r="AG6" s="5">
        <f>0.2*AF6+0.8*AVERAGE(AC6:AE6)</f>
        <v>3.7846153846153849</v>
      </c>
      <c r="AH6" s="5">
        <v>4.3</v>
      </c>
      <c r="AI6" s="5">
        <v>4</v>
      </c>
      <c r="AJ6" s="5">
        <v>4.5</v>
      </c>
      <c r="AK6" s="5">
        <v>4.8</v>
      </c>
      <c r="AL6" s="5">
        <v>4.5</v>
      </c>
      <c r="AM6" s="5">
        <f>AVERAGE(AH6:AL6)</f>
        <v>4.42</v>
      </c>
      <c r="AN6" s="5">
        <v>4</v>
      </c>
      <c r="AO6" s="5">
        <f>0.3*AN6+0.6*AM6+0.05*AG6+0.05*W6</f>
        <v>4.1912307692307689</v>
      </c>
      <c r="AP6" s="5">
        <v>1.7013888888888887E-2</v>
      </c>
      <c r="AQ6" s="5">
        <f>AP6/0.0170138888888889</f>
        <v>0.99999999999999922</v>
      </c>
      <c r="AR6" s="5">
        <v>1.6331018518518519E-2</v>
      </c>
      <c r="AS6" s="5">
        <f>AR6/0.0163310185185185</f>
        <v>1.0000000000000011</v>
      </c>
      <c r="AT6" s="5">
        <v>0</v>
      </c>
      <c r="AU6" s="5">
        <v>0.6</v>
      </c>
      <c r="AV6" s="5">
        <v>0</v>
      </c>
      <c r="AW6" s="5">
        <f>AV6/0.0208217592592593</f>
        <v>0</v>
      </c>
      <c r="AX6" s="5">
        <f>AVERAGE(AQ6,AS6,AU6,AW6)*5</f>
        <v>3.2500000000000009</v>
      </c>
      <c r="AY6" s="5">
        <v>4.5999999999999996</v>
      </c>
      <c r="AZ6" s="5">
        <v>3.65</v>
      </c>
      <c r="BA6" s="5">
        <v>3.8</v>
      </c>
      <c r="BB6" s="5">
        <f>AX6*$AX$2+AY6*$AY$2+AZ10*$AZ$2+BA6*$BA$2</f>
        <v>4.1435000000000004</v>
      </c>
      <c r="BC6" s="5">
        <v>4.83</v>
      </c>
      <c r="BD6" s="5">
        <f>AVERAGE(P6,AO6,BB6,BC6)</f>
        <v>4.4388076923076927</v>
      </c>
    </row>
    <row r="7" spans="1:56" s="37" customFormat="1">
      <c r="A7" s="30">
        <v>1005894053</v>
      </c>
      <c r="B7" s="31" t="s">
        <v>26</v>
      </c>
      <c r="C7" s="31" t="s">
        <v>27</v>
      </c>
      <c r="D7" s="32" t="s">
        <v>4</v>
      </c>
      <c r="E7" s="30">
        <v>4</v>
      </c>
      <c r="F7" s="31" t="s">
        <v>94</v>
      </c>
      <c r="G7" s="30">
        <v>3</v>
      </c>
      <c r="H7" s="30" t="str" cm="1">
        <f t="array" ref="H7">_xlfn.IFS(G7=1, "2:00 PM", G7=2, "2:30 PM", G7=3, "3:00 PM", G7=4, "3:30 PM")</f>
        <v>3:00 PM</v>
      </c>
      <c r="I7" s="33">
        <v>3</v>
      </c>
      <c r="J7" s="30">
        <v>3</v>
      </c>
      <c r="K7" s="34">
        <v>4.5999999999999996</v>
      </c>
      <c r="L7" s="34">
        <f>(J7/I7)*K7</f>
        <v>4.5999999999999996</v>
      </c>
      <c r="M7" s="35">
        <v>2.96</v>
      </c>
      <c r="N7" s="35"/>
      <c r="O7" s="35">
        <v>3.5</v>
      </c>
      <c r="P7" s="34">
        <f>0.7*L7+0.2*M7+0.1*O7+N7</f>
        <v>4.1619999999999999</v>
      </c>
      <c r="Q7" s="34">
        <v>2.1342592592592594E-2</v>
      </c>
      <c r="R7" s="34">
        <f>Q7/$R$2</f>
        <v>1.0244444444444445</v>
      </c>
      <c r="S7" s="34">
        <v>2.0833333333333332E-2</v>
      </c>
      <c r="T7" s="34">
        <f>S7/$T$2</f>
        <v>1</v>
      </c>
      <c r="U7" s="34">
        <v>1</v>
      </c>
      <c r="V7" s="34">
        <v>1</v>
      </c>
      <c r="W7" s="40">
        <v>5</v>
      </c>
      <c r="X7" s="36">
        <v>5</v>
      </c>
      <c r="Y7" s="36"/>
      <c r="Z7" s="36"/>
      <c r="AA7" s="36"/>
      <c r="AB7" s="36"/>
      <c r="AC7" s="36">
        <f>AVERAGE(X7:AB7)</f>
        <v>5</v>
      </c>
      <c r="AD7" s="34">
        <v>4.5</v>
      </c>
      <c r="AE7" s="34">
        <v>4</v>
      </c>
      <c r="AF7" s="34">
        <v>4.666666666666667</v>
      </c>
      <c r="AG7" s="40">
        <f>0.2*AF7+0.8*AVERAGE(AC7:AE7)</f>
        <v>4.5333333333333332</v>
      </c>
      <c r="AH7" s="34">
        <v>4.8</v>
      </c>
      <c r="AI7" s="34">
        <v>4.5</v>
      </c>
      <c r="AJ7" s="34">
        <v>4.5</v>
      </c>
      <c r="AK7" s="34">
        <v>3.5</v>
      </c>
      <c r="AL7" s="34">
        <v>3</v>
      </c>
      <c r="AM7" s="40">
        <f>AVERAGE(AH7:AL7)</f>
        <v>4.0600000000000005</v>
      </c>
      <c r="AN7" s="40">
        <v>4</v>
      </c>
      <c r="AO7" s="5">
        <f>0.3*AN7+0.6*AM7+0.05*AG7+0.05*W7</f>
        <v>4.1126666666666667</v>
      </c>
      <c r="AP7" s="34">
        <v>1.7777777777777778E-2</v>
      </c>
      <c r="AQ7" s="34">
        <f>AP7/0.0252083333333333</f>
        <v>0.70523415977961523</v>
      </c>
      <c r="AR7" s="34">
        <v>2.1342592592592594E-2</v>
      </c>
      <c r="AS7" s="34">
        <f>AR7/0.0236226851851852</f>
        <v>0.90347868691817679</v>
      </c>
      <c r="AT7" s="34">
        <v>2.5532407407407406E-2</v>
      </c>
      <c r="AU7" s="34">
        <f>AT7/0.0277314814814815</f>
        <v>0.92070116861435669</v>
      </c>
      <c r="AV7" s="34">
        <v>0</v>
      </c>
      <c r="AW7" s="34">
        <f>AV7/0.0115277777777778</f>
        <v>0</v>
      </c>
      <c r="AX7" s="34">
        <f>AVERAGE(AQ7,AS7,AU7,AW7)*5</f>
        <v>3.1617675191401862</v>
      </c>
      <c r="AY7" s="34">
        <v>4.8</v>
      </c>
      <c r="AZ7" s="34">
        <v>4.2649999999999997</v>
      </c>
      <c r="BA7" s="34">
        <v>3.7</v>
      </c>
      <c r="BB7" s="5">
        <f>AX7*$AX$2+AY7*$AY$2+AZ7*$AZ$2+BA7*$BA$2</f>
        <v>4.175265127871028</v>
      </c>
      <c r="BC7" s="5">
        <v>4.9800000000000004</v>
      </c>
      <c r="BD7" s="5">
        <f>AVERAGE(P7,AO7,BB7,BC7)</f>
        <v>4.3574829486344235</v>
      </c>
    </row>
    <row r="8" spans="1:56">
      <c r="A8" s="3">
        <v>1081728000</v>
      </c>
      <c r="B8" s="2" t="s">
        <v>28</v>
      </c>
      <c r="C8" s="2" t="s">
        <v>29</v>
      </c>
      <c r="D8" s="18" t="s">
        <v>5</v>
      </c>
      <c r="E8" s="3">
        <v>3</v>
      </c>
      <c r="F8" s="2" t="s">
        <v>73</v>
      </c>
      <c r="G8" s="3">
        <v>2</v>
      </c>
      <c r="H8" s="3" t="str" cm="1">
        <f t="array" ref="H8">_xlfn.IFS(G8=1, "2:00 PM", G8=2, "2:30 PM", G8=3, "3:00 PM", G8=4, "3:30 PM")</f>
        <v>2:30 PM</v>
      </c>
      <c r="I8" s="14">
        <v>5</v>
      </c>
      <c r="J8" s="3">
        <v>5</v>
      </c>
      <c r="K8" s="5">
        <v>4.8</v>
      </c>
      <c r="L8" s="5">
        <f>(J8/I8)*K8</f>
        <v>4.8</v>
      </c>
      <c r="M8" s="12">
        <v>2.76</v>
      </c>
      <c r="N8" s="12"/>
      <c r="O8" s="12">
        <v>3</v>
      </c>
      <c r="P8" s="5">
        <f>0.7*L8+0.2*M8+0.1*O8+N8</f>
        <v>4.2119999999999997</v>
      </c>
      <c r="Q8" s="5">
        <v>9.9305555555555553E-3</v>
      </c>
      <c r="R8" s="5">
        <f>Q8/$R$2</f>
        <v>0.47666666666666668</v>
      </c>
      <c r="S8" s="5">
        <v>2.0833333333333332E-2</v>
      </c>
      <c r="T8" s="5">
        <f>S8/$T$2</f>
        <v>1</v>
      </c>
      <c r="U8" s="5">
        <v>1</v>
      </c>
      <c r="V8" s="5">
        <v>1</v>
      </c>
      <c r="W8" s="5">
        <f>AVERAGE(R8,T8,V8)*5</f>
        <v>4.1277777777777773</v>
      </c>
      <c r="X8" s="29">
        <v>2</v>
      </c>
      <c r="Y8" s="29"/>
      <c r="Z8" s="29"/>
      <c r="AA8" s="29">
        <v>1</v>
      </c>
      <c r="AB8" s="29"/>
      <c r="AC8" s="29">
        <f>AVERAGE(X8:AB8)</f>
        <v>1.5</v>
      </c>
      <c r="AD8" s="5">
        <v>4</v>
      </c>
      <c r="AE8" s="5">
        <v>4</v>
      </c>
      <c r="AF8" s="5">
        <v>4.615384615384615</v>
      </c>
      <c r="AG8" s="5">
        <f>0.2*AF8+0.8*AVERAGE(AC8:AE8)</f>
        <v>3.4564102564102561</v>
      </c>
      <c r="AH8" s="5">
        <v>4</v>
      </c>
      <c r="AI8" s="5">
        <v>4.7</v>
      </c>
      <c r="AJ8" s="5">
        <v>4.5</v>
      </c>
      <c r="AK8" s="5">
        <v>4</v>
      </c>
      <c r="AL8" s="5">
        <v>4.3</v>
      </c>
      <c r="AM8" s="5">
        <f>AVERAGE(AH8:AL8)</f>
        <v>4.3</v>
      </c>
      <c r="AN8" s="5">
        <v>0</v>
      </c>
      <c r="AO8" s="5">
        <f>0.3*AN8+0.6*AM8+0.05*AG8+0.05*W8</f>
        <v>2.9592094017094013</v>
      </c>
      <c r="AP8" s="5">
        <v>1.9305555555555555E-2</v>
      </c>
      <c r="AQ8" s="5">
        <f>AP8/0.0221875</f>
        <v>0.87010954616588421</v>
      </c>
      <c r="AR8" s="5">
        <v>1.3553240740740741E-2</v>
      </c>
      <c r="AS8" s="5">
        <f>AR8/0.0181481481481481</f>
        <v>0.74681122448979786</v>
      </c>
      <c r="AT8" s="5">
        <v>2.5300925925925925E-2</v>
      </c>
      <c r="AU8" s="5">
        <f>AT8/0.0282407407407407</f>
        <v>0.89590163934426348</v>
      </c>
      <c r="AV8" s="5">
        <v>5.0000000000000001E-3</v>
      </c>
      <c r="AW8" s="5">
        <f>AV8/0.0189351851851852</f>
        <v>0.26405867970660124</v>
      </c>
      <c r="AX8" s="5">
        <f>AVERAGE(AQ8,AS8,AU8,AW8)*5</f>
        <v>3.471101362133183</v>
      </c>
      <c r="AY8" s="5">
        <v>4.9000000000000004</v>
      </c>
      <c r="AZ8" s="5">
        <v>3.05</v>
      </c>
      <c r="BA8" s="5">
        <v>3.6</v>
      </c>
      <c r="BB8" s="5">
        <f>AX8*$AX$2+AY8*$AY$2+AZ8*$AZ$2+BA8*$BA$2</f>
        <v>3.7506652043199775</v>
      </c>
      <c r="BC8" s="5">
        <v>5</v>
      </c>
      <c r="BD8" s="5">
        <f>AVERAGE(P8,AO8,BB8,BC8)</f>
        <v>3.9804686515073446</v>
      </c>
    </row>
    <row r="9" spans="1:56" s="37" customFormat="1">
      <c r="A9" s="30">
        <v>1062274189</v>
      </c>
      <c r="B9" s="31" t="s">
        <v>30</v>
      </c>
      <c r="C9" s="31" t="s">
        <v>31</v>
      </c>
      <c r="D9" s="32" t="s">
        <v>6</v>
      </c>
      <c r="E9" s="30">
        <v>3</v>
      </c>
      <c r="F9" s="31" t="s">
        <v>67</v>
      </c>
      <c r="G9" s="30">
        <v>2</v>
      </c>
      <c r="H9" s="30" t="str" cm="1">
        <f t="array" ref="H9">_xlfn.IFS(G9=1, "2:00 PM", G9=2, "2:30 PM", G9=3, "3:00 PM", G9=4, "3:30 PM")</f>
        <v>2:30 PM</v>
      </c>
      <c r="I9" s="33">
        <v>5</v>
      </c>
      <c r="J9" s="30">
        <v>3</v>
      </c>
      <c r="K9" s="34">
        <v>4.5</v>
      </c>
      <c r="L9" s="34">
        <f>(J9/I9)*K9</f>
        <v>2.6999999999999997</v>
      </c>
      <c r="M9" s="35">
        <v>2.76</v>
      </c>
      <c r="N9" s="35"/>
      <c r="O9" s="35">
        <v>3</v>
      </c>
      <c r="P9" s="34">
        <f>0.7*L9+0.2*M9+0.1*O9+N9</f>
        <v>2.742</v>
      </c>
      <c r="Q9" s="34">
        <v>1.8506944444444444E-2</v>
      </c>
      <c r="R9" s="34">
        <f>Q9/$R$2</f>
        <v>0.88833333333333331</v>
      </c>
      <c r="S9" s="34">
        <v>2.0833333333333332E-2</v>
      </c>
      <c r="T9" s="34">
        <f>S9/$T$2</f>
        <v>1</v>
      </c>
      <c r="U9" s="34">
        <v>1</v>
      </c>
      <c r="V9" s="34">
        <v>0.8</v>
      </c>
      <c r="W9" s="40">
        <f>AVERAGE(R9,T9,V9)*5</f>
        <v>4.4805555555555561</v>
      </c>
      <c r="X9" s="36">
        <v>2</v>
      </c>
      <c r="Y9" s="36">
        <v>1</v>
      </c>
      <c r="Z9" s="36"/>
      <c r="AA9" s="36">
        <v>3</v>
      </c>
      <c r="AB9" s="36"/>
      <c r="AC9" s="36">
        <f>AVERAGE(X9:AB9)</f>
        <v>2</v>
      </c>
      <c r="AD9" s="34">
        <v>4</v>
      </c>
      <c r="AE9" s="34">
        <v>4</v>
      </c>
      <c r="AF9" s="34">
        <v>4.7692307692307692</v>
      </c>
      <c r="AG9" s="40">
        <f>0.2*AF9+0.8*AVERAGE(AC9:AE9)</f>
        <v>3.620512820512821</v>
      </c>
      <c r="AH9" s="34">
        <v>4</v>
      </c>
      <c r="AI9" s="34">
        <v>4.7</v>
      </c>
      <c r="AJ9" s="34">
        <v>4.5</v>
      </c>
      <c r="AK9" s="34">
        <v>4</v>
      </c>
      <c r="AL9" s="34">
        <v>4.3</v>
      </c>
      <c r="AM9" s="40">
        <f>AVERAGE(AH9:AL9)</f>
        <v>4.3</v>
      </c>
      <c r="AN9" s="40">
        <v>0</v>
      </c>
      <c r="AO9" s="5">
        <f>0.3*AN9+0.6*AM9+0.05*AG9+0.05*W9</f>
        <v>2.9850534188034183</v>
      </c>
      <c r="AP9" s="34">
        <v>2.2187499999999999E-2</v>
      </c>
      <c r="AQ9" s="34">
        <f>AP9/0.0221875</f>
        <v>1</v>
      </c>
      <c r="AR9" s="34">
        <v>1.8148148148148149E-2</v>
      </c>
      <c r="AS9" s="34">
        <f>AR9/0.0181481481481481</f>
        <v>1.0000000000000027</v>
      </c>
      <c r="AT9" s="34">
        <v>2.6921296296296297E-2</v>
      </c>
      <c r="AU9" s="34">
        <f>AT9/0.0282407407407407</f>
        <v>0.95327868852459152</v>
      </c>
      <c r="AV9" s="34">
        <v>1.8935185185185187E-2</v>
      </c>
      <c r="AW9" s="34">
        <f>AV9/0.0189351851851852</f>
        <v>0.99999999999999922</v>
      </c>
      <c r="AX9" s="34">
        <f>AVERAGE(AQ9,AS9,AU9,AW9)*5</f>
        <v>4.9415983606557417</v>
      </c>
      <c r="AY9" s="34">
        <v>4.9000000000000004</v>
      </c>
      <c r="AZ9" s="34">
        <v>3.05</v>
      </c>
      <c r="BA9" s="34">
        <v>3.6</v>
      </c>
      <c r="BB9" s="5">
        <f>AX9*$AX$2+AY9*$AY$2+AZ9*$AZ$2+BA9*$BA$2</f>
        <v>3.9712397540983613</v>
      </c>
      <c r="BC9" s="5">
        <v>5</v>
      </c>
      <c r="BD9" s="5">
        <f>AVERAGE(P9,AO9,BB9,BC9)</f>
        <v>3.6745732932254449</v>
      </c>
    </row>
    <row r="10" spans="1:56">
      <c r="A10" s="3">
        <v>1193073115</v>
      </c>
      <c r="B10" s="2" t="s">
        <v>32</v>
      </c>
      <c r="C10" s="2" t="s">
        <v>33</v>
      </c>
      <c r="D10" s="18" t="s">
        <v>7</v>
      </c>
      <c r="E10" s="3">
        <v>4</v>
      </c>
      <c r="F10" s="2" t="s">
        <v>63</v>
      </c>
      <c r="G10" s="3">
        <v>3</v>
      </c>
      <c r="H10" s="3" t="str" cm="1">
        <f t="array" ref="H10">_xlfn.IFS(G10=1, "2:00 PM", G10=2, "2:30 PM", G10=3, "3:00 PM", G10=4, "3:30 PM")</f>
        <v>3:00 PM</v>
      </c>
      <c r="I10" s="14">
        <v>4</v>
      </c>
      <c r="J10" s="3">
        <v>4</v>
      </c>
      <c r="K10" s="5">
        <v>4.8</v>
      </c>
      <c r="L10" s="5">
        <f>(J10/I10)*K10</f>
        <v>4.8</v>
      </c>
      <c r="M10" s="12">
        <v>2.96</v>
      </c>
      <c r="N10" s="12"/>
      <c r="O10" s="12">
        <v>3.5</v>
      </c>
      <c r="P10" s="5">
        <f>0.7*L10+0.2*M10+0.1*O10+N10</f>
        <v>4.3019999999999996</v>
      </c>
      <c r="Q10" s="5">
        <v>2.0532407407407409E-2</v>
      </c>
      <c r="R10" s="5">
        <f>Q10/$R$2</f>
        <v>0.98555555555555563</v>
      </c>
      <c r="S10" s="5">
        <v>2.0833333333333332E-2</v>
      </c>
      <c r="T10" s="5">
        <f>S10/$T$2</f>
        <v>1</v>
      </c>
      <c r="U10" s="5">
        <v>1</v>
      </c>
      <c r="V10" s="5">
        <v>1</v>
      </c>
      <c r="W10" s="5">
        <f>AVERAGE(R10,T10,V10)*5</f>
        <v>4.9759259259259263</v>
      </c>
      <c r="X10" s="29">
        <v>5</v>
      </c>
      <c r="Y10" s="29">
        <v>5</v>
      </c>
      <c r="Z10" s="29">
        <v>5</v>
      </c>
      <c r="AA10" s="29"/>
      <c r="AB10" s="29"/>
      <c r="AC10" s="29">
        <f>AVERAGE(X10:AB10)</f>
        <v>5</v>
      </c>
      <c r="AD10" s="5">
        <v>5</v>
      </c>
      <c r="AE10" s="5">
        <v>4</v>
      </c>
      <c r="AF10" s="5">
        <v>4.833333333333333</v>
      </c>
      <c r="AG10" s="5">
        <f>0.2*AF10+0.8*AVERAGE(AC10:AE10)</f>
        <v>4.7</v>
      </c>
      <c r="AH10" s="5">
        <v>4.8</v>
      </c>
      <c r="AI10" s="5">
        <v>4.5</v>
      </c>
      <c r="AJ10" s="5">
        <v>4.5</v>
      </c>
      <c r="AK10" s="5">
        <v>3.5</v>
      </c>
      <c r="AL10" s="5">
        <v>3</v>
      </c>
      <c r="AM10" s="5">
        <f>AVERAGE(AH10:AL10)</f>
        <v>4.0600000000000005</v>
      </c>
      <c r="AN10" s="5">
        <v>4</v>
      </c>
      <c r="AO10" s="5">
        <f>0.3*AN10+0.6*AM10+0.05*AG10+0.05*W10</f>
        <v>4.119796296296296</v>
      </c>
      <c r="AP10" s="5">
        <v>2.5208333333333333E-2</v>
      </c>
      <c r="AQ10" s="5">
        <f>AP10/0.0252083333333333</f>
        <v>1.0000000000000013</v>
      </c>
      <c r="AR10" s="5">
        <v>2.2731481481481481E-2</v>
      </c>
      <c r="AS10" s="5">
        <f>AR10/0.0236226851851852</f>
        <v>0.96227339539441381</v>
      </c>
      <c r="AT10" s="5">
        <v>0</v>
      </c>
      <c r="AU10" s="5">
        <f>AT10/0.0277314814814815</f>
        <v>0</v>
      </c>
      <c r="AV10" s="5">
        <v>1.1527777777777777E-2</v>
      </c>
      <c r="AW10" s="5">
        <f>AV10/0.0115277777777778</f>
        <v>0.999999999999998</v>
      </c>
      <c r="AX10" s="5">
        <f>AVERAGE(AQ10,AS10,AU10,AW10)*5</f>
        <v>3.7028417442430159</v>
      </c>
      <c r="AY10" s="5">
        <v>4.8</v>
      </c>
      <c r="AZ10" s="5">
        <v>4.2649999999999997</v>
      </c>
      <c r="BA10" s="5">
        <v>3.7</v>
      </c>
      <c r="BB10" s="5">
        <f>AX10*$AX$2+AY10*$AY$2+AZ10*$AZ$2+BA10*$BA$2</f>
        <v>4.2564262616364523</v>
      </c>
      <c r="BC10" s="5">
        <v>4.9800000000000004</v>
      </c>
      <c r="BD10" s="5">
        <f>AVERAGE(P10,AO10,BB10,BC10)</f>
        <v>4.4145556394831873</v>
      </c>
    </row>
    <row r="11" spans="1:56" s="37" customFormat="1" hidden="1">
      <c r="A11" s="30">
        <v>1004189893</v>
      </c>
      <c r="B11" s="31" t="s">
        <v>101</v>
      </c>
      <c r="C11" s="31" t="s">
        <v>106</v>
      </c>
      <c r="D11" s="31"/>
      <c r="E11" s="30"/>
      <c r="F11" s="31"/>
      <c r="G11" s="30"/>
      <c r="H11" s="31"/>
      <c r="I11" s="33"/>
      <c r="J11" s="30"/>
      <c r="K11" s="30"/>
      <c r="L11" s="31"/>
      <c r="M11" s="35"/>
      <c r="N11" s="35"/>
      <c r="O11" s="35"/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40">
        <v>0</v>
      </c>
      <c r="X11" s="36"/>
      <c r="Y11" s="36"/>
      <c r="Z11" s="36"/>
      <c r="AA11" s="36"/>
      <c r="AB11" s="36"/>
      <c r="AC11" s="36">
        <v>0</v>
      </c>
      <c r="AD11" s="34"/>
      <c r="AE11" s="34"/>
      <c r="AF11" s="34">
        <v>0</v>
      </c>
      <c r="AG11" s="40">
        <f>0.2*AF11+0.8*AVERAGE(AC11:AE11)</f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40">
        <v>0</v>
      </c>
      <c r="AN11" s="40">
        <v>0</v>
      </c>
      <c r="AO11" s="34">
        <v>0</v>
      </c>
      <c r="AP11" s="34">
        <v>0</v>
      </c>
      <c r="AQ11" s="34">
        <v>0</v>
      </c>
      <c r="AR11" s="34"/>
      <c r="AS11" s="34">
        <v>0</v>
      </c>
      <c r="AT11" s="34"/>
      <c r="AU11" s="34">
        <v>0</v>
      </c>
      <c r="AV11" s="34"/>
      <c r="AW11" s="34">
        <v>0</v>
      </c>
      <c r="AX11" s="34">
        <v>0</v>
      </c>
      <c r="AY11" s="34">
        <v>0</v>
      </c>
      <c r="AZ11" s="34">
        <v>0</v>
      </c>
      <c r="BA11" s="34">
        <v>0</v>
      </c>
      <c r="BB11" s="5">
        <f>AX11*$AX$2+AY11*$AY$2+AZ11*$AZ$2+BA11*$BA$2</f>
        <v>0</v>
      </c>
      <c r="BC11" s="5">
        <v>0</v>
      </c>
      <c r="BD11" s="5">
        <f>AVERAGE(P11,AO11,BB11,BC11)</f>
        <v>0</v>
      </c>
    </row>
    <row r="12" spans="1:56">
      <c r="A12" s="3">
        <v>1005783739</v>
      </c>
      <c r="B12" s="2" t="s">
        <v>34</v>
      </c>
      <c r="C12" s="2" t="s">
        <v>35</v>
      </c>
      <c r="D12" s="18" t="s">
        <v>8</v>
      </c>
      <c r="E12" s="3">
        <v>2</v>
      </c>
      <c r="F12" s="2" t="s">
        <v>78</v>
      </c>
      <c r="G12" s="3">
        <v>1</v>
      </c>
      <c r="H12" s="3" t="str" cm="1">
        <f t="array" ref="H12">_xlfn.IFS(G12=1, "2:00 PM", G12=2, "2:30 PM", G12=3, "3:00 PM", G12=4, "3:30 PM")</f>
        <v>2:00 PM</v>
      </c>
      <c r="I12" s="14">
        <v>4</v>
      </c>
      <c r="J12" s="3">
        <v>4</v>
      </c>
      <c r="K12" s="5">
        <v>4.8</v>
      </c>
      <c r="L12" s="5">
        <f>(J12/I12)*K12</f>
        <v>4.8</v>
      </c>
      <c r="M12" s="12">
        <v>3.55</v>
      </c>
      <c r="N12" s="12">
        <f>3/20</f>
        <v>0.15</v>
      </c>
      <c r="O12" s="12">
        <v>4.7</v>
      </c>
      <c r="P12" s="5">
        <f>0.7*L12+0.2*M12+0.1*O12+N12</f>
        <v>4.6900000000000004</v>
      </c>
      <c r="Q12" s="5">
        <v>1.4976851851851852E-2</v>
      </c>
      <c r="R12" s="5">
        <f>Q12/$R$2</f>
        <v>0.71888888888888891</v>
      </c>
      <c r="S12" s="5">
        <v>2.0833333333333332E-2</v>
      </c>
      <c r="T12" s="5">
        <f>S12/$T$2</f>
        <v>1</v>
      </c>
      <c r="U12" s="5">
        <v>1</v>
      </c>
      <c r="V12" s="5">
        <v>1</v>
      </c>
      <c r="W12" s="5">
        <f>AVERAGE(R12,T12,V12)*5</f>
        <v>4.5314814814814817</v>
      </c>
      <c r="X12" s="29">
        <v>2</v>
      </c>
      <c r="Y12" s="29"/>
      <c r="Z12" s="29">
        <v>4</v>
      </c>
      <c r="AA12" s="29"/>
      <c r="AB12" s="29"/>
      <c r="AC12" s="29">
        <f>AVERAGE(X12:AB12)</f>
        <v>3</v>
      </c>
      <c r="AD12" s="5">
        <v>4.5</v>
      </c>
      <c r="AE12" s="5">
        <v>5</v>
      </c>
      <c r="AF12" s="5">
        <v>4.9285714285714288</v>
      </c>
      <c r="AG12" s="5">
        <f>0.2*AF12+0.8*AVERAGE(AC12:AE12)</f>
        <v>4.3190476190476197</v>
      </c>
      <c r="AH12" s="5">
        <v>4.8</v>
      </c>
      <c r="AI12" s="5">
        <v>4.8</v>
      </c>
      <c r="AJ12" s="5">
        <v>4.5</v>
      </c>
      <c r="AK12" s="5">
        <v>5</v>
      </c>
      <c r="AL12" s="5">
        <v>4.5</v>
      </c>
      <c r="AM12" s="5">
        <f>AVERAGE(AH12:AL12)</f>
        <v>4.7200000000000006</v>
      </c>
      <c r="AN12" s="5">
        <v>4.5</v>
      </c>
      <c r="AO12" s="5">
        <f>0.3*AN12+0.6*AM12+0.05*AG12+0.05*W12</f>
        <v>4.624526455026456</v>
      </c>
      <c r="AP12" s="5">
        <v>2.2997685185185184E-2</v>
      </c>
      <c r="AQ12" s="5">
        <f>AP12/0.0230324074074074</f>
        <v>0.99849246231155797</v>
      </c>
      <c r="AR12" s="5">
        <v>2.0706018518518519E-2</v>
      </c>
      <c r="AS12" s="5">
        <f>AR12/0.0230324074074074</f>
        <v>0.89899497487437219</v>
      </c>
      <c r="AT12" s="5">
        <v>1.6261574074074074E-2</v>
      </c>
      <c r="AU12" s="5">
        <f>AT12/0.0162615740740741</f>
        <v>0.99999999999999856</v>
      </c>
      <c r="AV12" s="5">
        <v>0</v>
      </c>
      <c r="AW12" s="5">
        <f>AV12/0.0102314814814815</f>
        <v>0</v>
      </c>
      <c r="AX12" s="5">
        <f>AVERAGE(AQ12,AS12,AU12,AW12)*5</f>
        <v>3.6218592964824108</v>
      </c>
      <c r="AY12" s="5">
        <v>4.8</v>
      </c>
      <c r="AZ12" s="5">
        <v>3.15</v>
      </c>
      <c r="BA12" s="5">
        <v>3.7</v>
      </c>
      <c r="BB12" s="5">
        <f>AX12*$AX$2+AY12*$AY$2+AZ12*$AZ$2+BA12*$BA$2</f>
        <v>3.7982788944723613</v>
      </c>
      <c r="BC12" s="5">
        <v>4.46</v>
      </c>
      <c r="BD12" s="5">
        <f>AVERAGE(P12,AO12,BB12,BC12)</f>
        <v>4.3932013373747045</v>
      </c>
    </row>
    <row r="13" spans="1:56" s="37" customFormat="1" ht="15.75">
      <c r="A13" s="30">
        <v>1007603017</v>
      </c>
      <c r="B13" s="31" t="s">
        <v>36</v>
      </c>
      <c r="C13" s="31" t="s">
        <v>37</v>
      </c>
      <c r="D13" s="32" t="s">
        <v>9</v>
      </c>
      <c r="E13" s="30">
        <v>3</v>
      </c>
      <c r="F13" s="38" t="s">
        <v>79</v>
      </c>
      <c r="G13" s="30">
        <v>2</v>
      </c>
      <c r="H13" s="30" t="str" cm="1">
        <f t="array" ref="H13">_xlfn.IFS(G13=1, "2:00 PM", G13=2, "2:30 PM", G13=3, "3:00 PM", G13=4, "3:30 PM")</f>
        <v>2:30 PM</v>
      </c>
      <c r="I13" s="33">
        <v>5</v>
      </c>
      <c r="J13" s="30">
        <v>5</v>
      </c>
      <c r="K13" s="34">
        <v>4.8</v>
      </c>
      <c r="L13" s="34">
        <f>(J13/I13)*K13</f>
        <v>4.8</v>
      </c>
      <c r="M13" s="35">
        <v>2.76</v>
      </c>
      <c r="N13" s="35"/>
      <c r="O13" s="35">
        <v>3</v>
      </c>
      <c r="P13" s="34">
        <f>0.7*L13+0.2*M13+0.1*O13+N13</f>
        <v>4.2119999999999997</v>
      </c>
      <c r="Q13" s="34">
        <v>1.8159722222222223E-2</v>
      </c>
      <c r="R13" s="34">
        <f>Q13/$R$2</f>
        <v>0.8716666666666667</v>
      </c>
      <c r="S13" s="34">
        <v>2.0833333333333332E-2</v>
      </c>
      <c r="T13" s="34">
        <f>S13/$T$2</f>
        <v>1</v>
      </c>
      <c r="U13" s="34">
        <v>1</v>
      </c>
      <c r="V13" s="34">
        <v>1</v>
      </c>
      <c r="W13" s="40">
        <f>AVERAGE(R13,T13,V13)*5</f>
        <v>4.7861111111111114</v>
      </c>
      <c r="X13" s="36">
        <v>4</v>
      </c>
      <c r="Y13" s="36"/>
      <c r="Z13" s="36"/>
      <c r="AA13" s="36">
        <v>5</v>
      </c>
      <c r="AB13" s="36"/>
      <c r="AC13" s="36">
        <f>AVERAGE(X13:AB13)</f>
        <v>4.5</v>
      </c>
      <c r="AD13" s="34">
        <v>4</v>
      </c>
      <c r="AE13" s="34">
        <v>4</v>
      </c>
      <c r="AF13" s="34">
        <v>4.615384615384615</v>
      </c>
      <c r="AG13" s="40">
        <f>0.2*AF13+0.8*AVERAGE(AC13:AE13)</f>
        <v>4.2564102564102573</v>
      </c>
      <c r="AH13" s="34">
        <v>4</v>
      </c>
      <c r="AI13" s="34">
        <v>4.7</v>
      </c>
      <c r="AJ13" s="34">
        <v>4.5</v>
      </c>
      <c r="AK13" s="34">
        <v>4</v>
      </c>
      <c r="AL13" s="34">
        <v>4.3</v>
      </c>
      <c r="AM13" s="40">
        <f>AVERAGE(AH13:AL13)</f>
        <v>4.3</v>
      </c>
      <c r="AN13" s="40">
        <v>0</v>
      </c>
      <c r="AO13" s="5">
        <f>0.3*AN13+0.6*AM13+0.05*AG13+0.05*W13</f>
        <v>3.0321260683760682</v>
      </c>
      <c r="AP13" s="34">
        <v>2.1921296296296296E-2</v>
      </c>
      <c r="AQ13" s="34">
        <f>AP13/0.0221875</f>
        <v>0.98800208659363598</v>
      </c>
      <c r="AR13" s="34">
        <v>1.7962962962962962E-2</v>
      </c>
      <c r="AS13" s="34">
        <f>AR13/0.0181481481481481</f>
        <v>0.98979591836734948</v>
      </c>
      <c r="AT13" s="34">
        <v>2.1087962962962965E-2</v>
      </c>
      <c r="AU13" s="34">
        <f>AT13/0.0282407407407407</f>
        <v>0.74672131147541088</v>
      </c>
      <c r="AV13" s="34">
        <v>1.8159722222222223E-2</v>
      </c>
      <c r="AW13" s="34">
        <f>AV13/0.0189351851851852</f>
        <v>0.95904645476772543</v>
      </c>
      <c r="AX13" s="34">
        <f>AVERAGE(AQ13,AS13,AU13,AW13)*5</f>
        <v>4.6044572140051523</v>
      </c>
      <c r="AY13" s="34">
        <v>4.9000000000000004</v>
      </c>
      <c r="AZ13" s="34">
        <v>3.05</v>
      </c>
      <c r="BA13" s="34">
        <v>3.6</v>
      </c>
      <c r="BB13" s="5">
        <f>AX13*$AX$2+AY13*$AY$2+AZ13*$AZ$2+BA13*$BA$2</f>
        <v>3.920668582100773</v>
      </c>
      <c r="BC13" s="5">
        <v>5</v>
      </c>
      <c r="BD13" s="5">
        <f>AVERAGE(P13,AO13,BB13,BC13)</f>
        <v>4.0411986626192107</v>
      </c>
    </row>
    <row r="14" spans="1:56">
      <c r="A14" s="3">
        <v>1062329024</v>
      </c>
      <c r="B14" s="2" t="s">
        <v>38</v>
      </c>
      <c r="C14" s="2" t="s">
        <v>39</v>
      </c>
      <c r="D14" s="18" t="s">
        <v>10</v>
      </c>
      <c r="E14" s="3">
        <v>1</v>
      </c>
      <c r="F14" s="2" t="s">
        <v>70</v>
      </c>
      <c r="G14" s="3">
        <v>4</v>
      </c>
      <c r="H14" s="3" t="str" cm="1">
        <f t="array" ref="H14">_xlfn.IFS(G14=1, "2:00 PM", G14=2, "2:30 PM", G14=3, "3:00 PM", G14=4, "3:30 PM")</f>
        <v>3:30 PM</v>
      </c>
      <c r="I14" s="14">
        <v>5</v>
      </c>
      <c r="J14" s="3">
        <v>5</v>
      </c>
      <c r="K14" s="3">
        <v>4.5</v>
      </c>
      <c r="L14" s="5">
        <f>(J14/I14)*K14</f>
        <v>4.5</v>
      </c>
      <c r="M14" s="12">
        <v>3.59</v>
      </c>
      <c r="N14" s="12"/>
      <c r="O14" s="12">
        <v>4.5</v>
      </c>
      <c r="P14" s="5">
        <f>0.7*L14+0.2*M14+0.1*O14+N14</f>
        <v>4.3179999999999996</v>
      </c>
      <c r="Q14" s="5">
        <v>0</v>
      </c>
      <c r="R14" s="5">
        <f>Q14/$R$2</f>
        <v>0</v>
      </c>
      <c r="S14" s="5">
        <v>2.0833333333333332E-2</v>
      </c>
      <c r="T14" s="5">
        <f>S14/$T$2</f>
        <v>1</v>
      </c>
      <c r="U14" s="5">
        <v>1</v>
      </c>
      <c r="V14" s="5">
        <v>1</v>
      </c>
      <c r="W14" s="5">
        <f>AVERAGE(R14,T14,V14)*5</f>
        <v>3.333333333333333</v>
      </c>
      <c r="X14" s="29"/>
      <c r="Y14" s="29">
        <v>5</v>
      </c>
      <c r="Z14" s="29">
        <v>0</v>
      </c>
      <c r="AA14" s="29"/>
      <c r="AB14" s="29"/>
      <c r="AC14" s="29">
        <f>AVERAGE(X14:AB14)</f>
        <v>2.5</v>
      </c>
      <c r="AD14" s="5">
        <v>3</v>
      </c>
      <c r="AE14" s="5">
        <v>4</v>
      </c>
      <c r="AF14" s="5">
        <v>3.8461538461538463</v>
      </c>
      <c r="AG14" s="5">
        <f>0.2*AF14+0.8*AVERAGE(AC14:AE14)</f>
        <v>3.3025641025641024</v>
      </c>
      <c r="AH14" s="5">
        <v>4.3</v>
      </c>
      <c r="AI14" s="5">
        <v>4</v>
      </c>
      <c r="AJ14" s="5">
        <v>4.5</v>
      </c>
      <c r="AK14" s="5">
        <v>4.8</v>
      </c>
      <c r="AL14" s="5">
        <v>4.5</v>
      </c>
      <c r="AM14" s="5">
        <f>AVERAGE(AH14:AL14)</f>
        <v>4.42</v>
      </c>
      <c r="AN14" s="5">
        <v>4</v>
      </c>
      <c r="AO14" s="5">
        <f>0.3*AN14+0.6*AM14+0.05*AG14+0.05*W14</f>
        <v>4.1837948717948716</v>
      </c>
      <c r="AP14" s="5">
        <v>0</v>
      </c>
      <c r="AQ14" s="5">
        <f>AP14/0.0170138888888889</f>
        <v>0</v>
      </c>
      <c r="AR14" s="5">
        <v>0</v>
      </c>
      <c r="AS14" s="5">
        <f>AR14/0.0163310185185185</f>
        <v>0</v>
      </c>
      <c r="AT14" s="5">
        <v>6.099537037037037E-3</v>
      </c>
      <c r="AU14" s="5">
        <f>AT14/0.0328240740740741</f>
        <v>0.18582510578279252</v>
      </c>
      <c r="AV14" s="5">
        <v>0</v>
      </c>
      <c r="AW14" s="5">
        <f>AV14/0.0208217592592593</f>
        <v>0</v>
      </c>
      <c r="AX14" s="5">
        <f>AVERAGE(AQ14,AS14,AU14,AW14)*5</f>
        <v>0.23228138222849065</v>
      </c>
      <c r="AY14" s="5">
        <v>4.5999999999999996</v>
      </c>
      <c r="AZ14" s="5">
        <v>3.65</v>
      </c>
      <c r="BA14" s="5">
        <v>3.8</v>
      </c>
      <c r="BB14" s="5">
        <f>AX14*$AX$2+AY14*$AY$2+AZ18*$AZ$2+BA14*$BA$2</f>
        <v>3.2048422073342731</v>
      </c>
      <c r="BC14" s="5">
        <v>4.83</v>
      </c>
      <c r="BD14" s="5">
        <f>AVERAGE(P14,AO14,BB14,BC14)</f>
        <v>4.1341592697822858</v>
      </c>
    </row>
    <row r="15" spans="1:56" s="37" customFormat="1">
      <c r="A15" s="30">
        <v>1113698193</v>
      </c>
      <c r="B15" s="31" t="s">
        <v>40</v>
      </c>
      <c r="C15" s="31" t="s">
        <v>41</v>
      </c>
      <c r="D15" s="32" t="s">
        <v>11</v>
      </c>
      <c r="E15" s="30">
        <v>2</v>
      </c>
      <c r="F15" s="31" t="s">
        <v>93</v>
      </c>
      <c r="G15" s="30">
        <v>1</v>
      </c>
      <c r="H15" s="30" t="str" cm="1">
        <f t="array" ref="H15">_xlfn.IFS(G15=1, "2:00 PM", G15=2, "2:30 PM", G15=3, "3:00 PM", G15=4, "3:30 PM")</f>
        <v>2:00 PM</v>
      </c>
      <c r="I15" s="33">
        <v>3</v>
      </c>
      <c r="J15" s="30">
        <v>3</v>
      </c>
      <c r="K15" s="34">
        <v>4.8</v>
      </c>
      <c r="L15" s="34">
        <f>(J15/I15)*K15</f>
        <v>4.8</v>
      </c>
      <c r="M15" s="35">
        <v>3.55</v>
      </c>
      <c r="N15" s="35">
        <f>2/20</f>
        <v>0.1</v>
      </c>
      <c r="O15" s="35">
        <v>4.7</v>
      </c>
      <c r="P15" s="34">
        <f>0.7*L15+0.2*M15+0.1*O15+N15</f>
        <v>4.6399999999999997</v>
      </c>
      <c r="Q15" s="34">
        <v>1.5833333333333335E-2</v>
      </c>
      <c r="R15" s="34">
        <f>Q15/$R$2</f>
        <v>0.76000000000000012</v>
      </c>
      <c r="S15" s="34">
        <v>2.0833333333333332E-2</v>
      </c>
      <c r="T15" s="34">
        <f>S15/$T$2</f>
        <v>1</v>
      </c>
      <c r="U15" s="34">
        <v>1</v>
      </c>
      <c r="V15" s="34">
        <v>0.6</v>
      </c>
      <c r="W15" s="40">
        <f>AVERAGE(R15,T15,V15)*5</f>
        <v>3.9333333333333336</v>
      </c>
      <c r="X15" s="36">
        <v>5</v>
      </c>
      <c r="Y15" s="36"/>
      <c r="Z15" s="36"/>
      <c r="AA15" s="36">
        <v>4</v>
      </c>
      <c r="AB15" s="36"/>
      <c r="AC15" s="36">
        <f>AVERAGE(X15:AB15)</f>
        <v>4.5</v>
      </c>
      <c r="AD15" s="34">
        <v>4.5</v>
      </c>
      <c r="AE15" s="34">
        <v>5</v>
      </c>
      <c r="AF15" s="34">
        <v>4.8571428571428568</v>
      </c>
      <c r="AG15" s="40">
        <f>0.2*AF15+0.8*AVERAGE(AC15:AE15)</f>
        <v>4.7047619047619049</v>
      </c>
      <c r="AH15" s="34">
        <v>4.8</v>
      </c>
      <c r="AI15" s="34">
        <v>4.8</v>
      </c>
      <c r="AJ15" s="34">
        <v>4.5</v>
      </c>
      <c r="AK15" s="34">
        <v>5</v>
      </c>
      <c r="AL15" s="34">
        <v>4.5</v>
      </c>
      <c r="AM15" s="40">
        <f>AVERAGE(AH15:AL15)</f>
        <v>4.7200000000000006</v>
      </c>
      <c r="AN15" s="40">
        <v>4.5</v>
      </c>
      <c r="AO15" s="5">
        <f>0.3*AN15+0.6*AM15+0.05*AG15+0.05*W15</f>
        <v>4.6139047619047622</v>
      </c>
      <c r="AP15" s="34">
        <v>1.6631944444444446E-2</v>
      </c>
      <c r="AQ15" s="34">
        <f>AP15/0.0230324074074074</f>
        <v>0.72211055276381941</v>
      </c>
      <c r="AR15" s="34">
        <v>2.0706018518518519E-2</v>
      </c>
      <c r="AS15" s="34">
        <f>AR15/0.0230324074074074</f>
        <v>0.89899497487437219</v>
      </c>
      <c r="AT15" s="34">
        <v>0</v>
      </c>
      <c r="AU15" s="34">
        <f>AT15/0.0162615740740741</f>
        <v>0</v>
      </c>
      <c r="AV15" s="34">
        <v>2.9166666666666668E-3</v>
      </c>
      <c r="AW15" s="34">
        <f>AV15/0.0102314814814815</f>
        <v>0.28506787330316691</v>
      </c>
      <c r="AX15" s="34">
        <f>AVERAGE(AQ15,AS15,AU15,AW15)*5</f>
        <v>2.382716751176698</v>
      </c>
      <c r="AY15" s="34">
        <v>4.8</v>
      </c>
      <c r="AZ15" s="34">
        <v>3.15</v>
      </c>
      <c r="BA15" s="34">
        <v>3.7</v>
      </c>
      <c r="BB15" s="5">
        <f>AX15*$AX$2+AY15*$AY$2+AZ15*$AZ$2+BA15*$BA$2</f>
        <v>3.6124075126765045</v>
      </c>
      <c r="BC15" s="5">
        <v>4.46</v>
      </c>
      <c r="BD15" s="5">
        <f>AVERAGE(P15,AO15,BB15,BC15)</f>
        <v>4.3315780686453165</v>
      </c>
    </row>
    <row r="16" spans="1:56">
      <c r="A16" s="3">
        <v>1005967544</v>
      </c>
      <c r="B16" s="2" t="s">
        <v>42</v>
      </c>
      <c r="C16" s="2" t="s">
        <v>43</v>
      </c>
      <c r="D16" s="18" t="s">
        <v>12</v>
      </c>
      <c r="E16" s="3">
        <v>1</v>
      </c>
      <c r="F16" s="2" t="s">
        <v>71</v>
      </c>
      <c r="G16" s="3">
        <v>4</v>
      </c>
      <c r="H16" s="3" t="str" cm="1">
        <f t="array" ref="H16">_xlfn.IFS(G16=1, "2:00 PM", G16=2, "2:30 PM", G16=3, "3:00 PM", G16=4, "3:30 PM")</f>
        <v>3:30 PM</v>
      </c>
      <c r="I16" s="14">
        <v>1</v>
      </c>
      <c r="J16" s="3">
        <v>1</v>
      </c>
      <c r="K16" s="3">
        <v>4.5999999999999996</v>
      </c>
      <c r="L16" s="5">
        <f>(J16/I16)*K16</f>
        <v>4.5999999999999996</v>
      </c>
      <c r="M16" s="12">
        <v>3.59</v>
      </c>
      <c r="N16" s="12"/>
      <c r="O16" s="12">
        <v>4.5</v>
      </c>
      <c r="P16" s="5">
        <f>0.7*L16+0.2*M16+0.1*O16+N16</f>
        <v>4.3879999999999999</v>
      </c>
      <c r="Q16" s="5">
        <v>1.3935185185185186E-2</v>
      </c>
      <c r="R16" s="5">
        <f>Q16/$R$2</f>
        <v>0.66888888888888898</v>
      </c>
      <c r="S16" s="5">
        <v>2.0833333333333332E-2</v>
      </c>
      <c r="T16" s="5">
        <f>S16/$T$2</f>
        <v>1</v>
      </c>
      <c r="U16" s="5">
        <v>1</v>
      </c>
      <c r="V16" s="5">
        <v>1</v>
      </c>
      <c r="W16" s="5">
        <f>AVERAGE(R16,T16,V16)*5</f>
        <v>4.4481481481481486</v>
      </c>
      <c r="X16" s="29"/>
      <c r="Y16" s="29">
        <v>0</v>
      </c>
      <c r="Z16" s="29"/>
      <c r="AA16" s="29">
        <v>0</v>
      </c>
      <c r="AB16" s="29"/>
      <c r="AC16" s="29">
        <f>AVERAGE(X16:AB16)</f>
        <v>0</v>
      </c>
      <c r="AD16" s="5">
        <v>4</v>
      </c>
      <c r="AE16" s="5">
        <v>4</v>
      </c>
      <c r="AF16" s="5">
        <v>4.916666666666667</v>
      </c>
      <c r="AG16" s="5">
        <f>0.2*AF16+0.8*AVERAGE(AC16:AE16)</f>
        <v>3.1166666666666667</v>
      </c>
      <c r="AH16" s="5">
        <v>4.3</v>
      </c>
      <c r="AI16" s="5">
        <v>4</v>
      </c>
      <c r="AJ16" s="5">
        <v>4.5</v>
      </c>
      <c r="AK16" s="5">
        <v>4.8</v>
      </c>
      <c r="AL16" s="5">
        <v>4.5</v>
      </c>
      <c r="AM16" s="5">
        <f>AVERAGE(AH16:AL16)</f>
        <v>4.42</v>
      </c>
      <c r="AN16" s="5">
        <v>4</v>
      </c>
      <c r="AO16" s="5">
        <f>0.3*AN16+0.6*AM16+0.05*AG16+0.05*W16</f>
        <v>4.230240740740741</v>
      </c>
      <c r="AP16" s="5">
        <v>1.6909722222222222E-2</v>
      </c>
      <c r="AQ16" s="5">
        <f>AP16/0.0170138888888889</f>
        <v>0.99387755102040742</v>
      </c>
      <c r="AR16" s="5">
        <v>0</v>
      </c>
      <c r="AS16" s="5">
        <v>0.6</v>
      </c>
      <c r="AT16" s="5">
        <v>3.2361111111111111E-2</v>
      </c>
      <c r="AU16" s="5">
        <f>AT16/0.0328240740740741</f>
        <v>0.98589562764456895</v>
      </c>
      <c r="AV16" s="5">
        <v>2.0787037037037038E-2</v>
      </c>
      <c r="AW16" s="5">
        <f>AV16/0.0208217592592593</f>
        <v>0.9983324068927163</v>
      </c>
      <c r="AX16" s="5">
        <f>AVERAGE(AQ16,AS16,AU16,AW16)*5</f>
        <v>4.4726319819471163</v>
      </c>
      <c r="AY16" s="5">
        <v>4.5999999999999996</v>
      </c>
      <c r="AZ16" s="5">
        <v>3.65</v>
      </c>
      <c r="BA16" s="5">
        <v>3.8</v>
      </c>
      <c r="BB16" s="5">
        <f>AX16*$AX$2+AY16*$AY$2+AZ20*$AZ$2+BA16*$BA$2</f>
        <v>4.3268947972920673</v>
      </c>
      <c r="BC16" s="5">
        <v>4.83</v>
      </c>
      <c r="BD16" s="5">
        <f>AVERAGE(P16,AO16,BB16,BC16)</f>
        <v>4.4437838845082016</v>
      </c>
    </row>
    <row r="17" spans="1:56" s="37" customFormat="1">
      <c r="A17" s="30">
        <v>1005832925</v>
      </c>
      <c r="B17" s="31" t="s">
        <v>44</v>
      </c>
      <c r="C17" s="31" t="s">
        <v>45</v>
      </c>
      <c r="D17" s="32" t="s">
        <v>13</v>
      </c>
      <c r="E17" s="30">
        <v>2</v>
      </c>
      <c r="F17" s="31" t="s">
        <v>66</v>
      </c>
      <c r="G17" s="30">
        <v>1</v>
      </c>
      <c r="H17" s="30" t="str" cm="1">
        <f t="array" ref="H17">_xlfn.IFS(G17=1, "2:00 PM", G17=2, "2:30 PM", G17=3, "3:00 PM", G17=4, "3:30 PM")</f>
        <v>2:00 PM</v>
      </c>
      <c r="I17" s="33">
        <v>11</v>
      </c>
      <c r="J17" s="30">
        <v>11</v>
      </c>
      <c r="K17" s="34">
        <v>4.8</v>
      </c>
      <c r="L17" s="34">
        <f>(J17/I17)*K17</f>
        <v>4.8</v>
      </c>
      <c r="M17" s="35">
        <v>3.55</v>
      </c>
      <c r="N17" s="35">
        <f>5/20</f>
        <v>0.25</v>
      </c>
      <c r="O17" s="35">
        <v>4.7</v>
      </c>
      <c r="P17" s="34">
        <f>0.7*L17+0.2*M17+0.1*O17+N17</f>
        <v>4.79</v>
      </c>
      <c r="Q17" s="34">
        <v>1.5972222222222221E-2</v>
      </c>
      <c r="R17" s="34">
        <f>Q17/$R$2</f>
        <v>0.76666666666666661</v>
      </c>
      <c r="S17" s="34">
        <v>2.0833333333333332E-2</v>
      </c>
      <c r="T17" s="34">
        <f>S17/$T$2</f>
        <v>1</v>
      </c>
      <c r="U17" s="34">
        <v>1</v>
      </c>
      <c r="V17" s="34">
        <v>1</v>
      </c>
      <c r="W17" s="40">
        <f>AVERAGE(R17,T17,V17)*5</f>
        <v>4.6111111111111107</v>
      </c>
      <c r="X17" s="36"/>
      <c r="Y17" s="36">
        <v>5</v>
      </c>
      <c r="Z17" s="36"/>
      <c r="AA17" s="36">
        <v>2</v>
      </c>
      <c r="AB17" s="36">
        <v>3</v>
      </c>
      <c r="AC17" s="36">
        <f>AVERAGE(X17:AB17)</f>
        <v>3.3333333333333335</v>
      </c>
      <c r="AD17" s="34">
        <v>5</v>
      </c>
      <c r="AE17" s="34">
        <v>5</v>
      </c>
      <c r="AF17" s="34">
        <v>5</v>
      </c>
      <c r="AG17" s="40">
        <f>0.2*AF17+0.8*AVERAGE(AC17:AE17)</f>
        <v>4.5555555555555554</v>
      </c>
      <c r="AH17" s="34">
        <v>4.8</v>
      </c>
      <c r="AI17" s="34">
        <v>4.8</v>
      </c>
      <c r="AJ17" s="34">
        <v>4.5</v>
      </c>
      <c r="AK17" s="34">
        <v>5</v>
      </c>
      <c r="AL17" s="34">
        <v>4.5</v>
      </c>
      <c r="AM17" s="40">
        <f>AVERAGE(AH17:AL17)</f>
        <v>4.7200000000000006</v>
      </c>
      <c r="AN17" s="40">
        <v>4.5</v>
      </c>
      <c r="AO17" s="5">
        <f>0.3*AN17+0.6*AM17+0.05*AG17+0.05*W17</f>
        <v>4.6403333333333334</v>
      </c>
      <c r="AP17" s="34">
        <v>2.3032407407407408E-2</v>
      </c>
      <c r="AQ17" s="34">
        <f>AP17/0.0230324074074074</f>
        <v>1.0000000000000002</v>
      </c>
      <c r="AR17" s="34">
        <v>1.1574074074074073E-5</v>
      </c>
      <c r="AS17" s="34">
        <f>AR17/0.0230324074074074</f>
        <v>5.0251256281407051E-4</v>
      </c>
      <c r="AT17" s="34">
        <v>1.5300925925925926E-2</v>
      </c>
      <c r="AU17" s="34">
        <f>AT17/0.0162615740740741</f>
        <v>0.9409252669039132</v>
      </c>
      <c r="AV17" s="34">
        <v>1.0231481481481482E-2</v>
      </c>
      <c r="AW17" s="34">
        <f>AV17/0.0102314814814815</f>
        <v>0.99999999999999833</v>
      </c>
      <c r="AX17" s="34">
        <f>AVERAGE(AQ17,AS17,AU17,AW17)*5</f>
        <v>3.6767847243334071</v>
      </c>
      <c r="AY17" s="34">
        <v>4.8</v>
      </c>
      <c r="AZ17" s="34">
        <v>3.15</v>
      </c>
      <c r="BA17" s="34">
        <v>3.7</v>
      </c>
      <c r="BB17" s="5">
        <f>AX17*$AX$2+AY17*$AY$2+AZ17*$AZ$2+BA17*$BA$2</f>
        <v>3.8065177086500115</v>
      </c>
      <c r="BC17" s="5">
        <v>4.46</v>
      </c>
      <c r="BD17" s="5">
        <f>AVERAGE(P17,AO17,BB17,BC17)</f>
        <v>4.4242127604958359</v>
      </c>
    </row>
    <row r="18" spans="1:56">
      <c r="A18" s="3">
        <v>1219713263</v>
      </c>
      <c r="B18" s="2" t="s">
        <v>46</v>
      </c>
      <c r="C18" s="2" t="s">
        <v>47</v>
      </c>
      <c r="D18" s="18" t="s">
        <v>14</v>
      </c>
      <c r="E18" s="3">
        <v>3</v>
      </c>
      <c r="F18" s="2" t="s">
        <v>74</v>
      </c>
      <c r="G18" s="3">
        <v>2</v>
      </c>
      <c r="H18" s="3" t="str" cm="1">
        <f t="array" ref="H18">_xlfn.IFS(G18=1, "2:00 PM", G18=2, "2:30 PM", G18=3, "3:00 PM", G18=4, "3:30 PM")</f>
        <v>2:30 PM</v>
      </c>
      <c r="I18" s="14">
        <v>6</v>
      </c>
      <c r="J18" s="3">
        <v>6</v>
      </c>
      <c r="K18" s="5">
        <v>4.9000000000000004</v>
      </c>
      <c r="L18" s="5">
        <f>(J18/I18)*K18</f>
        <v>4.9000000000000004</v>
      </c>
      <c r="M18" s="12">
        <v>2.76</v>
      </c>
      <c r="N18" s="12"/>
      <c r="O18" s="12">
        <v>3</v>
      </c>
      <c r="P18" s="5">
        <f>0.7*L18+0.2*M18+0.1*O18+N18</f>
        <v>4.282</v>
      </c>
      <c r="Q18" s="5">
        <v>0</v>
      </c>
      <c r="R18" s="5">
        <f>Q18/$R$2</f>
        <v>0</v>
      </c>
      <c r="S18" s="5">
        <v>2.0833333333333332E-2</v>
      </c>
      <c r="T18" s="5">
        <f>S18/$T$2</f>
        <v>1</v>
      </c>
      <c r="U18" s="5">
        <v>1</v>
      </c>
      <c r="V18" s="5">
        <v>0</v>
      </c>
      <c r="W18" s="5">
        <v>3</v>
      </c>
      <c r="X18" s="29">
        <v>2</v>
      </c>
      <c r="Y18" s="29">
        <v>1</v>
      </c>
      <c r="Z18" s="29"/>
      <c r="AA18" s="29">
        <v>3</v>
      </c>
      <c r="AB18" s="29"/>
      <c r="AC18" s="29">
        <f>AVERAGE(X18:AB18)</f>
        <v>2</v>
      </c>
      <c r="AD18" s="5">
        <v>4</v>
      </c>
      <c r="AE18" s="5">
        <v>4</v>
      </c>
      <c r="AF18" s="5">
        <v>4.5384615384615383</v>
      </c>
      <c r="AG18" s="5">
        <f>0.2*AF18+0.8*AVERAGE(AC18:AE18)</f>
        <v>3.5743589743589745</v>
      </c>
      <c r="AH18" s="5">
        <v>4</v>
      </c>
      <c r="AI18" s="5">
        <v>4.7</v>
      </c>
      <c r="AJ18" s="5">
        <v>4.5</v>
      </c>
      <c r="AK18" s="5">
        <v>4</v>
      </c>
      <c r="AL18" s="5">
        <v>4.3</v>
      </c>
      <c r="AM18" s="5">
        <f>AVERAGE(AH18:AL18)</f>
        <v>4.3</v>
      </c>
      <c r="AN18" s="5">
        <v>0</v>
      </c>
      <c r="AO18" s="5">
        <v>3</v>
      </c>
      <c r="AP18" s="5">
        <v>2.2037037037037036E-2</v>
      </c>
      <c r="AQ18" s="5">
        <f>AP18/0.0221875</f>
        <v>0.99321857068335939</v>
      </c>
      <c r="AR18" s="5">
        <v>1.8113425925925925E-2</v>
      </c>
      <c r="AS18" s="5">
        <f>AR18/0.0181481481481481</f>
        <v>0.9980867346938801</v>
      </c>
      <c r="AT18" s="5">
        <v>2.824074074074074E-2</v>
      </c>
      <c r="AU18" s="5">
        <f>AT18/0.0282407407407407</f>
        <v>1.0000000000000013</v>
      </c>
      <c r="AV18" s="5">
        <v>1.6574074074074074E-2</v>
      </c>
      <c r="AW18" s="5">
        <f>AV18/0.0189351851851852</f>
        <v>0.8753056234718819</v>
      </c>
      <c r="AX18" s="5">
        <f>AVERAGE(AQ18,AS18,AU18,AW18)*5</f>
        <v>4.8332636610614035</v>
      </c>
      <c r="AY18" s="5">
        <v>4.9000000000000004</v>
      </c>
      <c r="AZ18" s="5">
        <v>3.05</v>
      </c>
      <c r="BA18" s="5">
        <v>3.6</v>
      </c>
      <c r="BB18" s="5">
        <f>AX18*$AX$2+AY18*$AY$2+AZ18*$AZ$2+BA18*$BA$2</f>
        <v>3.9549895491592109</v>
      </c>
      <c r="BC18" s="5">
        <v>5</v>
      </c>
      <c r="BD18" s="5">
        <f>AVERAGE(P18,AO18,BB18,BC18)</f>
        <v>4.0592473872898029</v>
      </c>
    </row>
    <row r="19" spans="1:56" s="37" customFormat="1">
      <c r="A19" s="30">
        <v>1193578885</v>
      </c>
      <c r="B19" s="31" t="s">
        <v>48</v>
      </c>
      <c r="C19" s="31" t="s">
        <v>49</v>
      </c>
      <c r="D19" s="32" t="s">
        <v>15</v>
      </c>
      <c r="E19" s="30">
        <v>4</v>
      </c>
      <c r="F19" s="31" t="s">
        <v>64</v>
      </c>
      <c r="G19" s="30">
        <v>3</v>
      </c>
      <c r="H19" s="30" t="str" cm="1">
        <f t="array" ref="H19">_xlfn.IFS(G19=1, "2:00 PM", G19=2, "2:30 PM", G19=3, "3:00 PM", G19=4, "3:30 PM")</f>
        <v>3:00 PM</v>
      </c>
      <c r="I19" s="33">
        <v>4</v>
      </c>
      <c r="J19" s="30">
        <v>4</v>
      </c>
      <c r="K19" s="34">
        <v>4.5999999999999996</v>
      </c>
      <c r="L19" s="34">
        <f>(J19/I19)*K19</f>
        <v>4.5999999999999996</v>
      </c>
      <c r="M19" s="35">
        <v>2.96</v>
      </c>
      <c r="N19" s="35"/>
      <c r="O19" s="35">
        <v>3.5</v>
      </c>
      <c r="P19" s="34">
        <f>0.7*L19+0.2*M19+0.1*O19+N19</f>
        <v>4.1619999999999999</v>
      </c>
      <c r="Q19" s="34">
        <v>1.951388888888889E-2</v>
      </c>
      <c r="R19" s="34">
        <f>Q19/$R$2</f>
        <v>0.93666666666666676</v>
      </c>
      <c r="S19" s="34">
        <v>0</v>
      </c>
      <c r="T19" s="34">
        <f>S19/$T$2</f>
        <v>0</v>
      </c>
      <c r="U19" s="34">
        <v>1</v>
      </c>
      <c r="V19" s="34">
        <v>1</v>
      </c>
      <c r="W19" s="40">
        <f>AVERAGE(R19,T19,V19)*5</f>
        <v>3.2277777777777779</v>
      </c>
      <c r="X19" s="36"/>
      <c r="Y19" s="36"/>
      <c r="Z19" s="36"/>
      <c r="AA19" s="36"/>
      <c r="AB19" s="36"/>
      <c r="AC19" s="36">
        <v>0</v>
      </c>
      <c r="AD19" s="34"/>
      <c r="AE19" s="34"/>
      <c r="AF19" s="34">
        <v>2.3333333333333335</v>
      </c>
      <c r="AG19" s="40">
        <f>0.2*AF19+0.8*AVERAGE(AC19:AE19)</f>
        <v>0.46666666666666673</v>
      </c>
      <c r="AH19" s="34">
        <v>4.8</v>
      </c>
      <c r="AI19" s="34">
        <v>4.5</v>
      </c>
      <c r="AJ19" s="34">
        <v>4.5</v>
      </c>
      <c r="AK19" s="34">
        <v>3.5</v>
      </c>
      <c r="AL19" s="34">
        <v>3</v>
      </c>
      <c r="AM19" s="40">
        <f>AVERAGE(AH19:AL19)</f>
        <v>4.0600000000000005</v>
      </c>
      <c r="AN19" s="40">
        <v>4</v>
      </c>
      <c r="AO19" s="5">
        <f>0.3*AN19+0.7*AM19</f>
        <v>4.0419999999999998</v>
      </c>
      <c r="AP19" s="34">
        <v>2.3252314814814816E-2</v>
      </c>
      <c r="AQ19" s="34">
        <f>AP19/0.0252083333333333</f>
        <v>0.92240587695133269</v>
      </c>
      <c r="AR19" s="34">
        <v>2.101851851851852E-2</v>
      </c>
      <c r="AS19" s="34">
        <f>AR19/0.0236226851851852</f>
        <v>0.88975992160705475</v>
      </c>
      <c r="AT19" s="34">
        <v>8.2060185185185187E-3</v>
      </c>
      <c r="AU19" s="34">
        <f>AT19/0.0277314814814815</f>
        <v>0.29590984974958245</v>
      </c>
      <c r="AV19" s="34">
        <v>8.1597222222222227E-3</v>
      </c>
      <c r="AW19" s="34">
        <f>AV19/0.0115277777777778</f>
        <v>0.70783132530120352</v>
      </c>
      <c r="AX19" s="34">
        <f>AVERAGE(AQ19,AS19,AU19,AW19)*5</f>
        <v>3.5198837170114667</v>
      </c>
      <c r="AY19" s="34">
        <v>4.8</v>
      </c>
      <c r="AZ19" s="34">
        <v>4.2649999999999997</v>
      </c>
      <c r="BA19" s="34">
        <v>3.7</v>
      </c>
      <c r="BB19" s="5">
        <f>AX19*$AX$2+AY19*$AY$2+AZ19*$AZ$2+BA19*$BA$2</f>
        <v>4.2289825575517197</v>
      </c>
      <c r="BC19" s="5">
        <v>4.9800000000000004</v>
      </c>
      <c r="BD19" s="5">
        <f>AVERAGE(P19,AO19,BB19,BC19)</f>
        <v>4.3532456393879304</v>
      </c>
    </row>
    <row r="20" spans="1:56">
      <c r="A20" s="3">
        <v>1025642375</v>
      </c>
      <c r="B20" s="2" t="s">
        <v>50</v>
      </c>
      <c r="C20" s="2" t="s">
        <v>51</v>
      </c>
      <c r="D20" s="18" t="s">
        <v>16</v>
      </c>
      <c r="E20" s="3">
        <v>4</v>
      </c>
      <c r="F20" s="2" t="s">
        <v>62</v>
      </c>
      <c r="G20" s="3">
        <v>3</v>
      </c>
      <c r="H20" s="3" t="str" cm="1">
        <f t="array" ref="H20">_xlfn.IFS(G20=1, "2:00 PM", G20=2, "2:30 PM", G20=3, "3:00 PM", G20=4, "3:30 PM")</f>
        <v>3:00 PM</v>
      </c>
      <c r="I20" s="14">
        <v>5</v>
      </c>
      <c r="J20" s="3">
        <v>5</v>
      </c>
      <c r="K20" s="3">
        <v>4.7</v>
      </c>
      <c r="L20" s="5">
        <f>(J20/I20)*K20</f>
        <v>4.7</v>
      </c>
      <c r="M20" s="12">
        <v>2.96</v>
      </c>
      <c r="N20" s="12"/>
      <c r="O20" s="12">
        <v>3.5</v>
      </c>
      <c r="P20" s="5">
        <f>0.7*L20+0.2*M20+0.1*O20+N20</f>
        <v>4.2320000000000002</v>
      </c>
      <c r="Q20" s="5">
        <v>2.0243055555555556E-2</v>
      </c>
      <c r="R20" s="5">
        <f>Q20/$R$2</f>
        <v>0.97166666666666668</v>
      </c>
      <c r="S20" s="5">
        <v>2.0833333333333332E-2</v>
      </c>
      <c r="T20" s="5">
        <f>S20/$T$2</f>
        <v>1</v>
      </c>
      <c r="U20" s="5">
        <v>1</v>
      </c>
      <c r="V20" s="5">
        <v>1</v>
      </c>
      <c r="W20" s="5">
        <f>AVERAGE(R20,T20,V20)*5</f>
        <v>4.9527777777777775</v>
      </c>
      <c r="X20" s="29"/>
      <c r="Y20" s="29"/>
      <c r="Z20" s="29"/>
      <c r="AA20" s="29"/>
      <c r="AB20" s="29"/>
      <c r="AC20" s="29">
        <v>0</v>
      </c>
      <c r="AD20" s="5"/>
      <c r="AE20" s="5"/>
      <c r="AF20" s="5">
        <v>2.3333333333333335</v>
      </c>
      <c r="AG20" s="5">
        <f>0.2*AF20+0.8*AVERAGE(AC20:AE20)</f>
        <v>0.46666666666666673</v>
      </c>
      <c r="AH20" s="5">
        <v>4.8</v>
      </c>
      <c r="AI20" s="5">
        <v>4.5</v>
      </c>
      <c r="AJ20" s="5">
        <v>4.5</v>
      </c>
      <c r="AK20" s="5">
        <v>3.5</v>
      </c>
      <c r="AL20" s="5">
        <v>3</v>
      </c>
      <c r="AM20" s="5">
        <f>AVERAGE(AH20:AL20)</f>
        <v>4.0600000000000005</v>
      </c>
      <c r="AN20" s="5">
        <v>4</v>
      </c>
      <c r="AO20" s="5">
        <f>0.3*AN20+0.7*AM20</f>
        <v>4.0419999999999998</v>
      </c>
      <c r="AP20" s="5">
        <v>2.255787037037037E-2</v>
      </c>
      <c r="AQ20" s="5">
        <f>AP20/0.0252083333333333</f>
        <v>0.89485766758494145</v>
      </c>
      <c r="AR20" s="5">
        <v>2.3622685185185184E-2</v>
      </c>
      <c r="AS20" s="5">
        <f>AR20/0.0236226851851852</f>
        <v>0.99999999999999922</v>
      </c>
      <c r="AT20" s="5">
        <v>2.7731481481481482E-2</v>
      </c>
      <c r="AU20" s="5">
        <f>AT20/0.0277314814814815</f>
        <v>0.99999999999999933</v>
      </c>
      <c r="AV20" s="5">
        <v>1.0046296296296296E-2</v>
      </c>
      <c r="AW20" s="5">
        <f>AV20/0.0115277777777778</f>
        <v>0.87148594377509869</v>
      </c>
      <c r="AX20" s="5">
        <f>AVERAGE(AQ20,AS20,AU20,AW20)*5</f>
        <v>4.7079295142000488</v>
      </c>
      <c r="AY20" s="5">
        <v>4.8</v>
      </c>
      <c r="AZ20" s="5">
        <v>4.2649999999999997</v>
      </c>
      <c r="BA20" s="5">
        <v>3.7</v>
      </c>
      <c r="BB20" s="5">
        <f>AX20*$AX$2+AY20*$AY$2+AZ20*$AZ$2+BA20*$BA$2</f>
        <v>4.4071894271300076</v>
      </c>
      <c r="BC20" s="5">
        <v>4.9800000000000004</v>
      </c>
      <c r="BD20" s="5">
        <f>AVERAGE(P20,AO20,BB20,BC20)</f>
        <v>4.415297356782502</v>
      </c>
    </row>
    <row r="21" spans="1:56" s="37" customFormat="1">
      <c r="A21" s="30">
        <v>1110363454</v>
      </c>
      <c r="B21" s="31" t="s">
        <v>52</v>
      </c>
      <c r="C21" s="31" t="s">
        <v>21</v>
      </c>
      <c r="D21" s="32" t="s">
        <v>17</v>
      </c>
      <c r="E21" s="30">
        <v>3</v>
      </c>
      <c r="F21" s="31" t="s">
        <v>72</v>
      </c>
      <c r="G21" s="30">
        <v>2</v>
      </c>
      <c r="H21" s="30" t="str" cm="1">
        <f t="array" ref="H21">_xlfn.IFS(G21=1, "2:00 PM", G21=2, "2:30 PM", G21=3, "3:00 PM", G21=4, "3:30 PM")</f>
        <v>2:30 PM</v>
      </c>
      <c r="I21" s="33">
        <v>6</v>
      </c>
      <c r="J21" s="30">
        <v>6</v>
      </c>
      <c r="K21" s="34">
        <v>4.8</v>
      </c>
      <c r="L21" s="34">
        <f>(J21/I21)*K21</f>
        <v>4.8</v>
      </c>
      <c r="M21" s="35">
        <v>2.76</v>
      </c>
      <c r="N21" s="35">
        <f>1/13</f>
        <v>7.6923076923076927E-2</v>
      </c>
      <c r="O21" s="35">
        <v>3</v>
      </c>
      <c r="P21" s="34">
        <f>0.7*L21+0.2*M21+0.1*O21+N21</f>
        <v>4.2889230769230764</v>
      </c>
      <c r="Q21" s="34">
        <v>1.1863425925925927E-2</v>
      </c>
      <c r="R21" s="34">
        <f>Q21/$R$2</f>
        <v>0.56944444444444453</v>
      </c>
      <c r="S21" s="34">
        <v>2.0833333333333332E-2</v>
      </c>
      <c r="T21" s="34">
        <f>S21/$T$2</f>
        <v>1</v>
      </c>
      <c r="U21" s="34">
        <v>1</v>
      </c>
      <c r="V21" s="34">
        <v>1</v>
      </c>
      <c r="W21" s="40">
        <f>AVERAGE(R21,T21,V21)*5</f>
        <v>4.2824074074074074</v>
      </c>
      <c r="X21" s="36">
        <v>5</v>
      </c>
      <c r="Y21" s="36">
        <v>3</v>
      </c>
      <c r="Z21" s="36"/>
      <c r="AA21" s="36">
        <v>5</v>
      </c>
      <c r="AB21" s="36"/>
      <c r="AC21" s="36">
        <f>AVERAGE(X21:AB21)</f>
        <v>4.333333333333333</v>
      </c>
      <c r="AD21" s="34">
        <v>4</v>
      </c>
      <c r="AE21" s="34">
        <v>4</v>
      </c>
      <c r="AF21" s="34">
        <v>4.6923076923076925</v>
      </c>
      <c r="AG21" s="40">
        <f>0.2*AF21+0.8*AVERAGE(AC21:AE21)</f>
        <v>4.2273504273504274</v>
      </c>
      <c r="AH21" s="34">
        <v>4</v>
      </c>
      <c r="AI21" s="34">
        <v>4.7</v>
      </c>
      <c r="AJ21" s="34">
        <v>4.5</v>
      </c>
      <c r="AK21" s="34">
        <v>4</v>
      </c>
      <c r="AL21" s="34">
        <v>4.3</v>
      </c>
      <c r="AM21" s="40">
        <f>AVERAGE(AH21:AL21)</f>
        <v>4.3</v>
      </c>
      <c r="AN21" s="40">
        <v>0</v>
      </c>
      <c r="AO21" s="5">
        <f>0.3*AN21+0.6*AM21+0.05*AG21+0.05*W21</f>
        <v>3.0054878917378911</v>
      </c>
      <c r="AP21" s="34">
        <v>1.7175925925925924E-2</v>
      </c>
      <c r="AQ21" s="34">
        <f>AP21/0.0221875</f>
        <v>0.77412623891497123</v>
      </c>
      <c r="AR21" s="34">
        <v>0</v>
      </c>
      <c r="AS21" s="34">
        <f>AR21/0.0181481481481481</f>
        <v>0</v>
      </c>
      <c r="AT21" s="34">
        <v>4.3287037037037035E-3</v>
      </c>
      <c r="AU21" s="34">
        <f>AT21/0.0282407407407407</f>
        <v>0.15327868852459037</v>
      </c>
      <c r="AV21" s="34">
        <v>9.2592592592592588E-5</v>
      </c>
      <c r="AW21" s="34">
        <f>AV21/0.0189351851851852</f>
        <v>4.889975550122245E-3</v>
      </c>
      <c r="AX21" s="34">
        <f>AVERAGE(AQ21,AS21,AU21,AW21)*5</f>
        <v>1.1653686287371048</v>
      </c>
      <c r="AY21" s="34">
        <v>4.9000000000000004</v>
      </c>
      <c r="AZ21" s="34">
        <v>3.05</v>
      </c>
      <c r="BA21" s="34">
        <v>3.6</v>
      </c>
      <c r="BB21" s="5">
        <f>AX21*$AX$2+AY21*$AY$2+AZ21*$AZ$2+BA21*$BA$2</f>
        <v>3.4048052943105658</v>
      </c>
      <c r="BC21" s="5">
        <v>5</v>
      </c>
      <c r="BD21" s="5">
        <f>AVERAGE(P21,AO21,BB21,BC21)</f>
        <v>3.9248040657428831</v>
      </c>
    </row>
    <row r="22" spans="1:56">
      <c r="A22" s="3">
        <v>1109662163</v>
      </c>
      <c r="B22" s="2" t="s">
        <v>53</v>
      </c>
      <c r="C22" s="2" t="s">
        <v>54</v>
      </c>
      <c r="D22" s="18" t="s">
        <v>18</v>
      </c>
      <c r="E22" s="3">
        <v>2</v>
      </c>
      <c r="F22" s="4" t="s">
        <v>69</v>
      </c>
      <c r="G22" s="3">
        <v>1</v>
      </c>
      <c r="H22" s="3" t="str" cm="1">
        <f t="array" ref="H22">_xlfn.IFS(G22=1, "2:00 PM", G22=2, "2:30 PM", G22=3, "3:00 PM", G22=4, "3:30 PM")</f>
        <v>2:00 PM</v>
      </c>
      <c r="I22" s="14">
        <v>7</v>
      </c>
      <c r="J22" s="3">
        <v>7</v>
      </c>
      <c r="K22" s="5">
        <v>4.8</v>
      </c>
      <c r="L22" s="5">
        <f>(J22/I22)*K22</f>
        <v>4.8</v>
      </c>
      <c r="M22" s="12">
        <v>3.55</v>
      </c>
      <c r="N22" s="12">
        <f>1/20</f>
        <v>0.05</v>
      </c>
      <c r="O22" s="12">
        <v>4.7</v>
      </c>
      <c r="P22" s="5">
        <f>0.7*L22+0.2*M22+0.1*O22+N22</f>
        <v>4.59</v>
      </c>
      <c r="Q22" s="5">
        <v>1.4652777777777778E-2</v>
      </c>
      <c r="R22" s="5">
        <f>Q22/$R$2</f>
        <v>0.70333333333333337</v>
      </c>
      <c r="S22" s="34">
        <v>2.0833333333333332E-2</v>
      </c>
      <c r="T22" s="5">
        <f>S22/$T$2</f>
        <v>1</v>
      </c>
      <c r="U22" s="5">
        <v>1</v>
      </c>
      <c r="V22" s="5">
        <v>1</v>
      </c>
      <c r="W22" s="5">
        <f>AVERAGE(R22,T22,V22)*5</f>
        <v>4.5055555555555555</v>
      </c>
      <c r="X22" s="29">
        <v>3</v>
      </c>
      <c r="Y22" s="29"/>
      <c r="Z22" s="29">
        <v>5</v>
      </c>
      <c r="AA22" s="29"/>
      <c r="AB22" s="29"/>
      <c r="AC22" s="29">
        <f>AVERAGE(X22:AB22)</f>
        <v>4</v>
      </c>
      <c r="AD22" s="5">
        <v>4.5</v>
      </c>
      <c r="AE22" s="5">
        <v>5</v>
      </c>
      <c r="AF22" s="5">
        <v>5</v>
      </c>
      <c r="AG22" s="5">
        <f>0.2*AF22+0.8*AVERAGE(AC22:AE22)</f>
        <v>4.5999999999999996</v>
      </c>
      <c r="AH22" s="5">
        <v>4.8</v>
      </c>
      <c r="AI22" s="5">
        <v>4.8</v>
      </c>
      <c r="AJ22" s="5">
        <v>4.5</v>
      </c>
      <c r="AK22" s="5">
        <v>5</v>
      </c>
      <c r="AL22" s="5">
        <v>4.5</v>
      </c>
      <c r="AM22" s="5">
        <f>AVERAGE(AH22:AL22)</f>
        <v>4.7200000000000006</v>
      </c>
      <c r="AN22" s="5">
        <v>4.5</v>
      </c>
      <c r="AO22" s="5">
        <f>0.3*AN22+0.6*AM22+0.05*AG22+0.05*W22</f>
        <v>4.6372777777777783</v>
      </c>
      <c r="AP22" s="5">
        <v>2.2974537037037036E-2</v>
      </c>
      <c r="AQ22" s="5">
        <f>AP22/0.0230324074074074</f>
        <v>0.99748743718592991</v>
      </c>
      <c r="AR22" s="5">
        <v>1.8726851851851852E-2</v>
      </c>
      <c r="AS22" s="5">
        <f>AR22/0.0230324074074074</f>
        <v>0.81306532663316611</v>
      </c>
      <c r="AT22" s="5">
        <v>1.6168981481481482E-2</v>
      </c>
      <c r="AU22" s="5">
        <f>AT22/0.0162615740740741</f>
        <v>0.99430604982206261</v>
      </c>
      <c r="AV22" s="5">
        <v>9.9652777777777778E-3</v>
      </c>
      <c r="AW22" s="5">
        <f>AV22/0.0102314814814815</f>
        <v>0.973981900452487</v>
      </c>
      <c r="AX22" s="5">
        <f>AVERAGE(AQ22,AS22,AU22,AW22)*5</f>
        <v>4.7235508926170571</v>
      </c>
      <c r="AY22" s="5">
        <v>4.8</v>
      </c>
      <c r="AZ22" s="5">
        <v>3.15</v>
      </c>
      <c r="BA22" s="5">
        <v>3.7</v>
      </c>
      <c r="BB22" s="5">
        <f>AX22*$AX$2+AY22*$AY$2+AZ22*$AZ$2+BA22*$BA$2</f>
        <v>3.9635326338925583</v>
      </c>
      <c r="BC22" s="5">
        <v>4.46</v>
      </c>
      <c r="BD22" s="5">
        <f>AVERAGE(P22,AO22,BB22,BC22)</f>
        <v>4.4127026029175846</v>
      </c>
    </row>
    <row r="23" spans="1:56" s="37" customFormat="1">
      <c r="A23" s="30">
        <v>1126644560</v>
      </c>
      <c r="B23" s="31" t="s">
        <v>55</v>
      </c>
      <c r="C23" s="31" t="s">
        <v>56</v>
      </c>
      <c r="D23" s="32" t="s">
        <v>19</v>
      </c>
      <c r="E23" s="30">
        <v>1</v>
      </c>
      <c r="F23" s="31" t="s">
        <v>65</v>
      </c>
      <c r="G23" s="30">
        <v>4</v>
      </c>
      <c r="H23" s="30" t="str" cm="1">
        <f t="array" ref="H23">_xlfn.IFS(G23=1, "2:00 PM", G23=2, "2:30 PM", G23=3, "3:00 PM", G23=4, "3:30 PM")</f>
        <v>3:30 PM</v>
      </c>
      <c r="I23" s="33">
        <v>4</v>
      </c>
      <c r="J23" s="30">
        <v>4</v>
      </c>
      <c r="K23" s="30">
        <v>4.8</v>
      </c>
      <c r="L23" s="34">
        <f>(J23/I23)*K23</f>
        <v>4.8</v>
      </c>
      <c r="M23" s="35">
        <v>3.59</v>
      </c>
      <c r="N23" s="35"/>
      <c r="O23" s="35">
        <v>4.5</v>
      </c>
      <c r="P23" s="34">
        <f>0.7*L23+0.2*M23+0.1*O23+N23</f>
        <v>4.5279999999999996</v>
      </c>
      <c r="Q23" s="34">
        <v>1.6342592592592593E-2</v>
      </c>
      <c r="R23" s="34">
        <f>Q23/$R$2</f>
        <v>0.7844444444444445</v>
      </c>
      <c r="S23" s="34">
        <v>2.0833333333333332E-2</v>
      </c>
      <c r="T23" s="34">
        <f>S23/$T$2</f>
        <v>1</v>
      </c>
      <c r="U23" s="34">
        <v>1</v>
      </c>
      <c r="V23" s="34">
        <v>1</v>
      </c>
      <c r="W23" s="40">
        <f>AVERAGE(R23,T23,V23)*5</f>
        <v>4.6407407407407408</v>
      </c>
      <c r="X23" s="36"/>
      <c r="Y23" s="36">
        <v>4</v>
      </c>
      <c r="Z23" s="36">
        <v>0</v>
      </c>
      <c r="AA23" s="36"/>
      <c r="AB23" s="36"/>
      <c r="AC23" s="36">
        <f>AVERAGE(X23:AB23)</f>
        <v>2</v>
      </c>
      <c r="AD23" s="34">
        <v>4.5</v>
      </c>
      <c r="AE23" s="34">
        <v>4</v>
      </c>
      <c r="AF23" s="34">
        <v>5</v>
      </c>
      <c r="AG23" s="40">
        <f>0.2*AF23+0.8*AVERAGE(AC23:AE23)</f>
        <v>3.8000000000000003</v>
      </c>
      <c r="AH23" s="34">
        <v>4.3</v>
      </c>
      <c r="AI23" s="34">
        <v>4</v>
      </c>
      <c r="AJ23" s="34">
        <v>4.5</v>
      </c>
      <c r="AK23" s="34">
        <v>4.8</v>
      </c>
      <c r="AL23" s="34">
        <v>4.5</v>
      </c>
      <c r="AM23" s="40">
        <f>AVERAGE(AH23:AL23)</f>
        <v>4.42</v>
      </c>
      <c r="AN23" s="40">
        <v>4</v>
      </c>
      <c r="AO23" s="5">
        <f>0.3*AN23+0.6*AM23+0.05*AG23+0.05*W23</f>
        <v>4.2740370370370364</v>
      </c>
      <c r="AP23" s="34">
        <v>1.6087962962962964E-2</v>
      </c>
      <c r="AQ23" s="34">
        <f>AP23/0.0170138888888889</f>
        <v>0.94557823129251639</v>
      </c>
      <c r="AR23" s="34">
        <v>1.3020833333333334E-2</v>
      </c>
      <c r="AS23" s="34">
        <f>AR23/0.0163310185185185</f>
        <v>0.79730687455705263</v>
      </c>
      <c r="AT23" s="34">
        <v>3.2824074074074075E-2</v>
      </c>
      <c r="AU23" s="34">
        <f>AT23/0.0328240740740741</f>
        <v>0.99999999999999911</v>
      </c>
      <c r="AV23" s="34">
        <v>0</v>
      </c>
      <c r="AW23" s="34">
        <v>0.6</v>
      </c>
      <c r="AX23" s="34">
        <f>AVERAGE(AQ23,AS23,AU23,AW23)*5</f>
        <v>4.1786063823119601</v>
      </c>
      <c r="AY23" s="34">
        <v>4.5999999999999996</v>
      </c>
      <c r="AZ23" s="34">
        <v>3.65</v>
      </c>
      <c r="BA23" s="34">
        <v>3.8</v>
      </c>
      <c r="BB23" s="5">
        <f>AX23*$AX$2+AY23*$AY$2+AZ23*$AZ$2+BA23*$BA$2</f>
        <v>4.0367909573467937</v>
      </c>
      <c r="BC23" s="5">
        <v>4.83</v>
      </c>
      <c r="BD23" s="5">
        <f>AVERAGE(P23,AO23,BB23,BC23)</f>
        <v>4.4172069985959572</v>
      </c>
    </row>
    <row r="24" spans="1:56">
      <c r="G24" s="28"/>
      <c r="AO24" s="13"/>
    </row>
    <row r="25" spans="1:56">
      <c r="G25" s="3"/>
      <c r="Q25" s="42" t="s">
        <v>147</v>
      </c>
      <c r="R25" s="43"/>
      <c r="S25" s="41"/>
      <c r="T25" s="41"/>
    </row>
    <row r="26" spans="1:56">
      <c r="G26" s="3"/>
    </row>
    <row r="27" spans="1:56">
      <c r="G27" s="3"/>
    </row>
  </sheetData>
  <autoFilter ref="A3:BD3" xr:uid="{00000000-0001-0000-0000-000000000000}">
    <sortState xmlns:xlrd2="http://schemas.microsoft.com/office/spreadsheetml/2017/richdata2" ref="A4:BD23">
      <sortCondition ref="B3"/>
    </sortState>
  </autoFilter>
  <mergeCells count="4">
    <mergeCell ref="P1:P2"/>
    <mergeCell ref="AO1:AO2"/>
    <mergeCell ref="BC1:BC2"/>
    <mergeCell ref="BD1:BD2"/>
  </mergeCells>
  <conditionalFormatting sqref="P4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:AO2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:BB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:BC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4:BD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39B1-9B3A-48EC-A1C3-0236E1FBCFFB}">
  <dimension ref="A1:B21"/>
  <sheetViews>
    <sheetView workbookViewId="0">
      <selection activeCell="A2" sqref="A2:B21"/>
    </sheetView>
  </sheetViews>
  <sheetFormatPr defaultColWidth="11.42578125" defaultRowHeight="15"/>
  <cols>
    <col min="1" max="1" width="34.28515625" bestFit="1" customWidth="1"/>
    <col min="2" max="2" width="12" bestFit="1" customWidth="1"/>
  </cols>
  <sheetData>
    <row r="1" spans="1:2">
      <c r="A1" s="22" t="s">
        <v>134</v>
      </c>
      <c r="B1" s="22" t="s">
        <v>135</v>
      </c>
    </row>
    <row r="2" spans="1:2">
      <c r="A2" s="24" t="s">
        <v>130</v>
      </c>
      <c r="B2">
        <v>2.3333333333333335</v>
      </c>
    </row>
    <row r="3" spans="1:2">
      <c r="A3" s="23" t="s">
        <v>119</v>
      </c>
      <c r="B3">
        <v>4.916666666666667</v>
      </c>
    </row>
    <row r="4" spans="1:2">
      <c r="A4" s="24" t="s">
        <v>120</v>
      </c>
      <c r="B4">
        <v>4.9285714285714288</v>
      </c>
    </row>
    <row r="5" spans="1:2">
      <c r="A5" s="24" t="s">
        <v>121</v>
      </c>
      <c r="B5">
        <v>4.8571428571428568</v>
      </c>
    </row>
    <row r="6" spans="1:2">
      <c r="A6" s="24" t="s">
        <v>122</v>
      </c>
      <c r="B6">
        <v>5</v>
      </c>
    </row>
    <row r="7" spans="1:2">
      <c r="A7" s="24" t="s">
        <v>131</v>
      </c>
      <c r="B7">
        <v>4.833333333333333</v>
      </c>
    </row>
    <row r="8" spans="1:2">
      <c r="A8" s="24" t="s">
        <v>125</v>
      </c>
      <c r="B8">
        <v>4.7692307692307692</v>
      </c>
    </row>
    <row r="9" spans="1:2">
      <c r="A9" s="23" t="s">
        <v>115</v>
      </c>
      <c r="B9">
        <v>4.0769230769230766</v>
      </c>
    </row>
    <row r="10" spans="1:2">
      <c r="A10" s="24" t="s">
        <v>126</v>
      </c>
      <c r="B10">
        <v>4.6923076923076925</v>
      </c>
    </row>
    <row r="11" spans="1:2">
      <c r="A11" s="24" t="s">
        <v>132</v>
      </c>
      <c r="B11">
        <v>4.666666666666667</v>
      </c>
    </row>
    <row r="12" spans="1:2">
      <c r="A12" s="23" t="s">
        <v>117</v>
      </c>
      <c r="B12">
        <v>3.8461538461538463</v>
      </c>
    </row>
    <row r="13" spans="1:2" ht="30">
      <c r="A13" s="23" t="s">
        <v>118</v>
      </c>
      <c r="B13">
        <v>4.9230769230769234</v>
      </c>
    </row>
    <row r="14" spans="1:2">
      <c r="A14" s="24" t="s">
        <v>127</v>
      </c>
      <c r="B14">
        <v>4.615384615384615</v>
      </c>
    </row>
    <row r="15" spans="1:2">
      <c r="A15" s="24" t="s">
        <v>128</v>
      </c>
      <c r="B15">
        <v>4.615384615384615</v>
      </c>
    </row>
    <row r="16" spans="1:2">
      <c r="A16" s="24" t="s">
        <v>123</v>
      </c>
      <c r="B16">
        <v>4.9285714285714288</v>
      </c>
    </row>
    <row r="17" spans="1:2">
      <c r="A17" s="24" t="s">
        <v>124</v>
      </c>
      <c r="B17">
        <v>5</v>
      </c>
    </row>
    <row r="18" spans="1:2">
      <c r="A18" s="24" t="s">
        <v>129</v>
      </c>
      <c r="B18">
        <v>4.5384615384615383</v>
      </c>
    </row>
    <row r="20" spans="1:2">
      <c r="A20" s="25" t="s">
        <v>133</v>
      </c>
      <c r="B20">
        <v>2.3333333333333335</v>
      </c>
    </row>
    <row r="21" spans="1:2">
      <c r="A21" s="23" t="s">
        <v>116</v>
      </c>
      <c r="B21">
        <v>5</v>
      </c>
    </row>
  </sheetData>
  <autoFilter ref="A1:B1" xr:uid="{69DE39B1-9B3A-48EC-A1C3-0236E1FBCFFB}">
    <sortState xmlns:xlrd2="http://schemas.microsoft.com/office/spreadsheetml/2017/richdata2" ref="A2:B18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E5FE-8C1E-42BD-9F29-DCD3824FC0F7}">
  <dimension ref="A1:B9"/>
  <sheetViews>
    <sheetView topLeftCell="A3" zoomScale="220" zoomScaleNormal="220" workbookViewId="0">
      <selection activeCell="D7" sqref="D7"/>
    </sheetView>
  </sheetViews>
  <sheetFormatPr defaultColWidth="9.140625" defaultRowHeight="15"/>
  <cols>
    <col min="1" max="1" width="6.7109375" bestFit="1" customWidth="1"/>
    <col min="2" max="2" width="66.28515625" bestFit="1" customWidth="1"/>
  </cols>
  <sheetData>
    <row r="1" spans="1:2">
      <c r="A1" s="6" t="s">
        <v>85</v>
      </c>
      <c r="B1" s="7" t="s">
        <v>86</v>
      </c>
    </row>
    <row r="2" spans="1:2">
      <c r="A2" s="8" t="s">
        <v>80</v>
      </c>
      <c r="B2" s="9" t="s">
        <v>87</v>
      </c>
    </row>
    <row r="3" spans="1:2">
      <c r="A3" s="8" t="s">
        <v>81</v>
      </c>
      <c r="B3" s="9" t="s">
        <v>88</v>
      </c>
    </row>
    <row r="4" spans="1:2">
      <c r="A4" s="8" t="s">
        <v>82</v>
      </c>
      <c r="B4" s="9" t="s">
        <v>89</v>
      </c>
    </row>
    <row r="5" spans="1:2">
      <c r="A5" s="8" t="s">
        <v>83</v>
      </c>
      <c r="B5" s="9" t="s">
        <v>90</v>
      </c>
    </row>
    <row r="6" spans="1:2">
      <c r="A6" s="8" t="s">
        <v>91</v>
      </c>
      <c r="B6" s="9" t="s">
        <v>92</v>
      </c>
    </row>
    <row r="7" spans="1:2">
      <c r="A7" s="8" t="s">
        <v>96</v>
      </c>
      <c r="B7" s="9" t="s">
        <v>97</v>
      </c>
    </row>
    <row r="8" spans="1:2">
      <c r="A8" s="8" t="s">
        <v>95</v>
      </c>
      <c r="B8" s="9" t="s">
        <v>98</v>
      </c>
    </row>
    <row r="9" spans="1:2">
      <c r="A9" s="10" t="s">
        <v>84</v>
      </c>
      <c r="B9" s="11" t="s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EDF0-1065-44CF-B64B-B0D7D9C19102}">
  <dimension ref="A1:F23"/>
  <sheetViews>
    <sheetView workbookViewId="0">
      <selection activeCell="G11" sqref="G11"/>
    </sheetView>
  </sheetViews>
  <sheetFormatPr defaultColWidth="58.5703125" defaultRowHeight="15"/>
  <cols>
    <col min="1" max="1" width="18.7109375" bestFit="1" customWidth="1"/>
    <col min="2" max="2" width="21.7109375" bestFit="1" customWidth="1"/>
    <col min="3" max="3" width="2" bestFit="1" customWidth="1"/>
    <col min="5" max="5" width="34.42578125" bestFit="1" customWidth="1"/>
    <col min="6" max="6" width="7.140625" bestFit="1" customWidth="1"/>
  </cols>
  <sheetData>
    <row r="1" spans="1:6">
      <c r="A1" s="2" t="s">
        <v>43</v>
      </c>
      <c r="B1" s="2" t="s">
        <v>42</v>
      </c>
      <c r="C1" s="3">
        <v>1</v>
      </c>
    </row>
    <row r="2" spans="1:6">
      <c r="A2" s="2" t="s">
        <v>21</v>
      </c>
      <c r="B2" s="2" t="s">
        <v>20</v>
      </c>
      <c r="C2" s="3">
        <v>1</v>
      </c>
    </row>
    <row r="3" spans="1:6">
      <c r="A3" s="2" t="s">
        <v>56</v>
      </c>
      <c r="B3" s="2" t="s">
        <v>55</v>
      </c>
      <c r="C3" s="3">
        <v>1</v>
      </c>
    </row>
    <row r="4" spans="1:6">
      <c r="A4" s="2" t="s">
        <v>39</v>
      </c>
      <c r="B4" s="2" t="s">
        <v>38</v>
      </c>
      <c r="C4" s="3">
        <v>1</v>
      </c>
    </row>
    <row r="5" spans="1:6">
      <c r="A5" s="2" t="s">
        <v>25</v>
      </c>
      <c r="B5" s="2" t="s">
        <v>24</v>
      </c>
      <c r="C5" s="3">
        <v>1</v>
      </c>
    </row>
    <row r="6" spans="1:6">
      <c r="A6" s="2" t="s">
        <v>35</v>
      </c>
      <c r="B6" s="2" t="s">
        <v>34</v>
      </c>
      <c r="C6" s="3">
        <v>2</v>
      </c>
    </row>
    <row r="7" spans="1:6">
      <c r="A7" s="2" t="s">
        <v>41</v>
      </c>
      <c r="B7" s="2" t="s">
        <v>40</v>
      </c>
      <c r="C7" s="3">
        <v>2</v>
      </c>
    </row>
    <row r="8" spans="1:6">
      <c r="A8" s="2" t="s">
        <v>54</v>
      </c>
      <c r="B8" s="2" t="s">
        <v>53</v>
      </c>
      <c r="C8" s="3">
        <v>2</v>
      </c>
      <c r="E8" t="s">
        <v>130</v>
      </c>
      <c r="F8" s="44">
        <v>2.3622685185185184E-2</v>
      </c>
    </row>
    <row r="9" spans="1:6">
      <c r="A9" s="2" t="s">
        <v>23</v>
      </c>
      <c r="B9" s="2" t="s">
        <v>22</v>
      </c>
      <c r="C9" s="3">
        <v>2</v>
      </c>
      <c r="E9" t="s">
        <v>120</v>
      </c>
      <c r="F9" s="44">
        <v>2.0706018518518519E-2</v>
      </c>
    </row>
    <row r="10" spans="1:6">
      <c r="A10" s="2" t="s">
        <v>45</v>
      </c>
      <c r="B10" s="2" t="s">
        <v>44</v>
      </c>
      <c r="C10" s="3">
        <v>2</v>
      </c>
      <c r="E10" t="s">
        <v>121</v>
      </c>
      <c r="F10" s="44">
        <v>2.0706018518518519E-2</v>
      </c>
    </row>
    <row r="11" spans="1:6">
      <c r="A11" s="2" t="s">
        <v>31</v>
      </c>
      <c r="B11" s="2" t="s">
        <v>30</v>
      </c>
      <c r="C11" s="3">
        <v>3</v>
      </c>
      <c r="E11" t="s">
        <v>122</v>
      </c>
      <c r="F11" s="44">
        <v>1.8726851851851852E-2</v>
      </c>
    </row>
    <row r="12" spans="1:6">
      <c r="A12" s="2" t="s">
        <v>21</v>
      </c>
      <c r="B12" s="2" t="s">
        <v>52</v>
      </c>
      <c r="C12" s="3">
        <v>3</v>
      </c>
      <c r="E12" t="s">
        <v>131</v>
      </c>
      <c r="F12" s="44">
        <v>2.2731481481481481E-2</v>
      </c>
    </row>
    <row r="13" spans="1:6">
      <c r="A13" s="2" t="s">
        <v>37</v>
      </c>
      <c r="B13" s="2" t="s">
        <v>36</v>
      </c>
      <c r="C13" s="3">
        <v>3</v>
      </c>
      <c r="E13" t="s">
        <v>125</v>
      </c>
      <c r="F13" s="44">
        <v>1.8148148148148149E-2</v>
      </c>
    </row>
    <row r="14" spans="1:6">
      <c r="A14" s="2" t="s">
        <v>29</v>
      </c>
      <c r="B14" s="2" t="s">
        <v>28</v>
      </c>
      <c r="C14" s="3">
        <v>3</v>
      </c>
      <c r="E14" t="s">
        <v>148</v>
      </c>
      <c r="F14" s="44">
        <v>2.1342592592592594E-2</v>
      </c>
    </row>
    <row r="15" spans="1:6">
      <c r="A15" s="2" t="s">
        <v>47</v>
      </c>
      <c r="B15" s="2" t="s">
        <v>46</v>
      </c>
      <c r="C15" s="3">
        <v>3</v>
      </c>
      <c r="E15" t="s">
        <v>116</v>
      </c>
      <c r="F15" s="44">
        <v>1.3020833333333334E-2</v>
      </c>
    </row>
    <row r="16" spans="1:6">
      <c r="A16" s="2" t="s">
        <v>51</v>
      </c>
      <c r="B16" s="2" t="s">
        <v>50</v>
      </c>
      <c r="C16" s="3">
        <v>4</v>
      </c>
      <c r="E16" t="s">
        <v>149</v>
      </c>
      <c r="F16" s="44">
        <v>1.6331018518518519E-2</v>
      </c>
    </row>
    <row r="17" spans="1:6">
      <c r="A17" s="2" t="s">
        <v>33</v>
      </c>
      <c r="B17" s="2" t="s">
        <v>32</v>
      </c>
      <c r="C17" s="3">
        <v>4</v>
      </c>
      <c r="E17" t="s">
        <v>127</v>
      </c>
      <c r="F17" s="44">
        <v>1.7962962962962962E-2</v>
      </c>
    </row>
    <row r="18" spans="1:6">
      <c r="A18" s="2" t="s">
        <v>27</v>
      </c>
      <c r="B18" s="2" t="s">
        <v>26</v>
      </c>
      <c r="C18" s="3">
        <v>4</v>
      </c>
      <c r="E18" t="s">
        <v>133</v>
      </c>
      <c r="F18" s="44">
        <v>2.101851851851852E-2</v>
      </c>
    </row>
    <row r="19" spans="1:6">
      <c r="A19" s="2" t="s">
        <v>49</v>
      </c>
      <c r="B19" s="2" t="s">
        <v>48</v>
      </c>
      <c r="C19" s="3">
        <v>4</v>
      </c>
      <c r="E19" t="s">
        <v>128</v>
      </c>
      <c r="F19" s="44">
        <v>1.3553240740740741E-2</v>
      </c>
    </row>
    <row r="20" spans="1:6">
      <c r="A20" s="16"/>
      <c r="B20" s="19"/>
      <c r="E20" t="s">
        <v>123</v>
      </c>
      <c r="F20" s="44">
        <v>1.6770833333333332E-2</v>
      </c>
    </row>
    <row r="21" spans="1:6">
      <c r="A21" s="17"/>
      <c r="B21" s="19"/>
      <c r="E21" t="s">
        <v>150</v>
      </c>
      <c r="F21" s="44">
        <v>7.8993055555555552E-2</v>
      </c>
    </row>
    <row r="22" spans="1:6">
      <c r="E22" t="s">
        <v>151</v>
      </c>
      <c r="F22" s="44">
        <v>1.8113425925925925E-2</v>
      </c>
    </row>
    <row r="23" spans="1:6">
      <c r="E23" t="s">
        <v>152</v>
      </c>
      <c r="F23" s="44">
        <v>1.1574074074074073E-5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Ivan Campo Salazar</cp:lastModifiedBy>
  <dcterms:created xsi:type="dcterms:W3CDTF">2025-07-29T17:17:27Z</dcterms:created>
  <dcterms:modified xsi:type="dcterms:W3CDTF">2025-11-29T13:28:34Z</dcterms:modified>
</cp:coreProperties>
</file>