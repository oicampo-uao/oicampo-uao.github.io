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DB2\2025-2\"/>
    </mc:Choice>
  </mc:AlternateContent>
  <xr:revisionPtr revIDLastSave="0" documentId="13_ncr:1_{E39BB7F9-11B0-4852-8B66-9DFBCA9120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Sheet1!$A$3:$AY$23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10" i="1" l="1"/>
  <c r="AW7" i="1"/>
  <c r="AW19" i="1"/>
  <c r="AW20" i="1"/>
  <c r="AW21" i="1"/>
  <c r="AW13" i="1"/>
  <c r="AW8" i="1"/>
  <c r="AW18" i="1"/>
  <c r="AW9" i="1"/>
  <c r="AW15" i="1"/>
  <c r="AW22" i="1"/>
  <c r="AW5" i="1"/>
  <c r="AW17" i="1"/>
  <c r="AW12" i="1"/>
  <c r="AW4" i="1"/>
  <c r="AW14" i="1"/>
  <c r="AW6" i="1"/>
  <c r="AW16" i="1"/>
  <c r="AU10" i="1"/>
  <c r="AU7" i="1"/>
  <c r="AU19" i="1"/>
  <c r="AU20" i="1"/>
  <c r="AU18" i="1"/>
  <c r="AU21" i="1"/>
  <c r="AU13" i="1"/>
  <c r="AU8" i="1"/>
  <c r="AU9" i="1"/>
  <c r="AU15" i="1"/>
  <c r="AU22" i="1"/>
  <c r="AU5" i="1"/>
  <c r="AU17" i="1"/>
  <c r="AU12" i="1"/>
  <c r="AU4" i="1"/>
  <c r="AU23" i="1"/>
  <c r="AU14" i="1"/>
  <c r="AU16" i="1"/>
  <c r="AS10" i="1"/>
  <c r="AS7" i="1"/>
  <c r="AS19" i="1"/>
  <c r="AS20" i="1"/>
  <c r="AS21" i="1"/>
  <c r="AS13" i="1"/>
  <c r="AS8" i="1"/>
  <c r="AX8" i="1" s="1"/>
  <c r="AS18" i="1"/>
  <c r="AS9" i="1"/>
  <c r="AS15" i="1"/>
  <c r="AS22" i="1"/>
  <c r="AS5" i="1"/>
  <c r="AS17" i="1"/>
  <c r="AS12" i="1"/>
  <c r="AS16" i="1"/>
  <c r="AS4" i="1"/>
  <c r="AS23" i="1"/>
  <c r="AS14" i="1"/>
  <c r="AS6" i="1"/>
  <c r="AQ10" i="1"/>
  <c r="AQ7" i="1"/>
  <c r="AQ19" i="1"/>
  <c r="AX19" i="1" s="1"/>
  <c r="AQ20" i="1"/>
  <c r="AQ18" i="1"/>
  <c r="AQ21" i="1"/>
  <c r="AQ13" i="1"/>
  <c r="AQ8" i="1"/>
  <c r="AQ9" i="1"/>
  <c r="AQ15" i="1"/>
  <c r="AQ22" i="1"/>
  <c r="AX22" i="1" s="1"/>
  <c r="AQ5" i="1"/>
  <c r="AQ17" i="1"/>
  <c r="AQ12" i="1"/>
  <c r="AQ4" i="1"/>
  <c r="AX4" i="1" s="1"/>
  <c r="AQ23" i="1"/>
  <c r="AQ14" i="1"/>
  <c r="AX14" i="1" s="1"/>
  <c r="AQ6" i="1"/>
  <c r="AX6" i="1" s="1"/>
  <c r="AQ16" i="1"/>
  <c r="AM5" i="1"/>
  <c r="AM12" i="1"/>
  <c r="AM15" i="1"/>
  <c r="AM17" i="1"/>
  <c r="AM22" i="1"/>
  <c r="AM8" i="1"/>
  <c r="AM9" i="1"/>
  <c r="AM13" i="1"/>
  <c r="AM18" i="1"/>
  <c r="AM21" i="1"/>
  <c r="AM7" i="1"/>
  <c r="AM10" i="1"/>
  <c r="AM19" i="1"/>
  <c r="AO19" i="1" s="1"/>
  <c r="AM20" i="1"/>
  <c r="AO20" i="1" s="1"/>
  <c r="AM23" i="1"/>
  <c r="AG19" i="1"/>
  <c r="AG20" i="1"/>
  <c r="AG11" i="1"/>
  <c r="AM6" i="1"/>
  <c r="AM14" i="1"/>
  <c r="AM16" i="1"/>
  <c r="AM4" i="1"/>
  <c r="AC5" i="1"/>
  <c r="AG5" i="1" s="1"/>
  <c r="AC6" i="1"/>
  <c r="AG6" i="1" s="1"/>
  <c r="AC7" i="1"/>
  <c r="AG7" i="1" s="1"/>
  <c r="AC8" i="1"/>
  <c r="AG8" i="1" s="1"/>
  <c r="AC9" i="1"/>
  <c r="AG9" i="1" s="1"/>
  <c r="AC10" i="1"/>
  <c r="AG10" i="1" s="1"/>
  <c r="AC12" i="1"/>
  <c r="AG12" i="1" s="1"/>
  <c r="AC13" i="1"/>
  <c r="AG13" i="1" s="1"/>
  <c r="AC14" i="1"/>
  <c r="AG14" i="1" s="1"/>
  <c r="AC15" i="1"/>
  <c r="AG15" i="1" s="1"/>
  <c r="AC16" i="1"/>
  <c r="AG16" i="1" s="1"/>
  <c r="AC17" i="1"/>
  <c r="AG17" i="1" s="1"/>
  <c r="AC18" i="1"/>
  <c r="AG18" i="1" s="1"/>
  <c r="AC21" i="1"/>
  <c r="AG21" i="1" s="1"/>
  <c r="AC22" i="1"/>
  <c r="AG22" i="1" s="1"/>
  <c r="AC23" i="1"/>
  <c r="AG23" i="1" s="1"/>
  <c r="AC4" i="1"/>
  <c r="AG4" i="1" s="1"/>
  <c r="R5" i="1"/>
  <c r="R6" i="1"/>
  <c r="R7" i="1"/>
  <c r="R8" i="1"/>
  <c r="R9" i="1"/>
  <c r="R10" i="1"/>
  <c r="R12" i="1"/>
  <c r="R13" i="1"/>
  <c r="R14" i="1"/>
  <c r="R15" i="1"/>
  <c r="R16" i="1"/>
  <c r="R17" i="1"/>
  <c r="R18" i="1"/>
  <c r="R19" i="1"/>
  <c r="R20" i="1"/>
  <c r="R21" i="1"/>
  <c r="R22" i="1"/>
  <c r="R23" i="1"/>
  <c r="R4" i="1"/>
  <c r="H6" i="1" a="1"/>
  <c r="H6" i="1" s="1"/>
  <c r="H14" i="1" a="1"/>
  <c r="H14" i="1" s="1"/>
  <c r="H23" i="1" a="1"/>
  <c r="H23" i="1" s="1"/>
  <c r="H4" i="1" a="1"/>
  <c r="H4" i="1" s="1"/>
  <c r="H16" i="1" a="1"/>
  <c r="H16" i="1" s="1"/>
  <c r="H19" i="1" a="1"/>
  <c r="H19" i="1" s="1"/>
  <c r="H7" i="1" a="1"/>
  <c r="H7" i="1" s="1"/>
  <c r="H10" i="1" a="1"/>
  <c r="H10" i="1" s="1"/>
  <c r="H20" i="1" a="1"/>
  <c r="H20" i="1" s="1"/>
  <c r="H18" i="1" a="1"/>
  <c r="H18" i="1" s="1"/>
  <c r="H8" i="1" a="1"/>
  <c r="H8" i="1" s="1"/>
  <c r="H13" i="1" a="1"/>
  <c r="H13" i="1" s="1"/>
  <c r="H21" i="1" a="1"/>
  <c r="H21" i="1" s="1"/>
  <c r="H9" i="1" a="1"/>
  <c r="H9" i="1" s="1"/>
  <c r="H12" i="1" a="1"/>
  <c r="H12" i="1" s="1"/>
  <c r="H15" i="1" a="1"/>
  <c r="H15" i="1" s="1"/>
  <c r="H22" i="1" a="1"/>
  <c r="H22" i="1" s="1"/>
  <c r="H5" i="1" a="1"/>
  <c r="H5" i="1" s="1"/>
  <c r="H17" i="1" a="1"/>
  <c r="H17" i="1" s="1"/>
  <c r="T6" i="1"/>
  <c r="T14" i="1"/>
  <c r="T16" i="1"/>
  <c r="T23" i="1"/>
  <c r="T5" i="1"/>
  <c r="T12" i="1"/>
  <c r="T15" i="1"/>
  <c r="T17" i="1"/>
  <c r="T22" i="1"/>
  <c r="T8" i="1"/>
  <c r="T9" i="1"/>
  <c r="T13" i="1"/>
  <c r="T18" i="1"/>
  <c r="T21" i="1"/>
  <c r="T7" i="1"/>
  <c r="T10" i="1"/>
  <c r="T19" i="1"/>
  <c r="T20" i="1"/>
  <c r="T4" i="1"/>
  <c r="AX23" i="1" l="1"/>
  <c r="AX20" i="1"/>
  <c r="AX12" i="1"/>
  <c r="AX5" i="1"/>
  <c r="AX15" i="1"/>
  <c r="AX9" i="1"/>
  <c r="AX16" i="1"/>
  <c r="AX13" i="1"/>
  <c r="AX7" i="1"/>
  <c r="AX21" i="1"/>
  <c r="AX17" i="1"/>
  <c r="AX10" i="1"/>
  <c r="AX18" i="1"/>
  <c r="W23" i="1"/>
  <c r="AO7" i="1"/>
  <c r="AO6" i="1"/>
  <c r="AO23" i="1"/>
  <c r="W15" i="1"/>
  <c r="AO15" i="1" s="1"/>
  <c r="W22" i="1"/>
  <c r="AO22" i="1" s="1"/>
  <c r="W5" i="1"/>
  <c r="AO5" i="1" s="1"/>
  <c r="W14" i="1"/>
  <c r="AO14" i="1" s="1"/>
  <c r="W12" i="1"/>
  <c r="AO12" i="1" s="1"/>
  <c r="W9" i="1"/>
  <c r="AO9" i="1" s="1"/>
  <c r="W20" i="1"/>
  <c r="W17" i="1"/>
  <c r="AO17" i="1" s="1"/>
  <c r="W8" i="1"/>
  <c r="AO8" i="1" s="1"/>
  <c r="W4" i="1"/>
  <c r="AO4" i="1" s="1"/>
  <c r="W16" i="1"/>
  <c r="AO16" i="1" s="1"/>
  <c r="W19" i="1"/>
  <c r="W21" i="1"/>
  <c r="AO21" i="1" s="1"/>
  <c r="W13" i="1"/>
  <c r="AO13" i="1" s="1"/>
  <c r="W10" i="1"/>
  <c r="AO10" i="1" s="1"/>
  <c r="N17" i="1"/>
  <c r="N21" i="1"/>
  <c r="N15" i="1"/>
  <c r="N5" i="1"/>
  <c r="N22" i="1"/>
  <c r="N12" i="1"/>
  <c r="N6" i="1"/>
  <c r="L17" i="1" l="1"/>
  <c r="P17" i="1" s="1"/>
  <c r="L22" i="1"/>
  <c r="P22" i="1" s="1"/>
  <c r="L12" i="1"/>
  <c r="P12" i="1" s="1"/>
  <c r="L15" i="1"/>
  <c r="P15" i="1" s="1"/>
  <c r="L9" i="1"/>
  <c r="P9" i="1" s="1"/>
  <c r="L18" i="1"/>
  <c r="P18" i="1" s="1"/>
  <c r="L21" i="1"/>
  <c r="P21" i="1" s="1"/>
  <c r="L8" i="1"/>
  <c r="P8" i="1" s="1"/>
  <c r="L13" i="1"/>
  <c r="P13" i="1" s="1"/>
  <c r="L7" i="1"/>
  <c r="P7" i="1" s="1"/>
  <c r="L10" i="1"/>
  <c r="P10" i="1" s="1"/>
  <c r="L19" i="1"/>
  <c r="P19" i="1" s="1"/>
  <c r="L20" i="1"/>
  <c r="P20" i="1" s="1"/>
  <c r="L4" i="1"/>
  <c r="P4" i="1" s="1"/>
  <c r="L6" i="1"/>
  <c r="P6" i="1" s="1"/>
  <c r="L23" i="1"/>
  <c r="P23" i="1" s="1"/>
  <c r="L16" i="1"/>
  <c r="P16" i="1" s="1"/>
  <c r="L14" i="1"/>
  <c r="P14" i="1" s="1"/>
  <c r="L5" i="1"/>
  <c r="P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<sst xmlns="http://schemas.openxmlformats.org/spreadsheetml/2006/main" count="236" uniqueCount="154">
  <si>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</si>
  <si>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</si>
  <si>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</si>
  <si>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</si>
  <si>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</si>
  <si>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</si>
  <si>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</si>
  <si>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</si>
  <si>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</si>
  <si>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</si>
  <si>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</si>
  <si>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</si>
  <si>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</si>
  <si>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</si>
  <si>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</si>
  <si>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</si>
  <si>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</si>
  <si>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</si>
  <si>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</si>
  <si>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</si>
  <si>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</si>
  <si>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</si>
  <si>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</si>
  <si>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</si>
  <si>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</si>
  <si>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</si>
  <si>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</si>
  <si>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</si>
  <si>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</si>
  <si>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</si>
  <si>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</si>
  <si>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</si>
  <si>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</si>
  <si>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</si>
  <si>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</si>
  <si>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</si>
  <si>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</si>
  <si>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</si>
  <si>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</si>
  <si>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</si>
  <si>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</si>
  <si>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</si>
  <si>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</si>
  <si>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</si>
  <si>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</si>
  <si>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</si>
  <si>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</si>
  <si>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</si>
  <si>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</si>
  <si>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</si>
  <si>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</si>
  <si>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</si>
  <si>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</si>
  <si>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</si>
  <si>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</si>
  <si>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</si>
  <si>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</si>
  <si>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</si>
  <si>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</si>
  <si>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</si>
  <si>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</si>
  <si>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</si>
  <si>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</si>
  <si>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</si>
  <si>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</si>
  <si>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</si>
  <si>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</si>
  <si>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</si>
  <si>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</si>
  <si>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</si>
  <si>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</si>
  <si>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</si>
  <si>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</si>
  <si>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</si>
  <si>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</si>
  <si>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</si>
  <si>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</si>
  <si>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</si>
  <si>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</si>
  <si>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</si>
  <si>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</si>
  <si>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</si>
  <si>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</si>
  <si>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</si>
  <si>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</si>
  <si>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</si>
  <si>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</si>
  <si>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</si>
  <si>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</si>
  <si>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</si>
  <si>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</si>
  <si>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</si>
  <si>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</si>
  <si>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</si>
  <si>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</si>
  <si>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</si>
  <si>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</si>
  <si>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</si>
  <si>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</si>
  <si>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</si>
  <si>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</si>
  <si>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</si>
  <si>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</si>
  <si>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</si>
  <si>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</si>
  <si>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</si>
  <si>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</si>
  <si>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</si>
  <si>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</si>
  <si>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</si>
  <si>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</si>
  <si>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</si>
  <si>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</si>
  <si>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</si>
  <si>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</si>
  <si>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</si>
  <si>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</si>
  <si>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</si>
  <si>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</si>
  <si>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</si>
  <si>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</si>
  <si>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</si>
  <si>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</si>
  <si>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</si>
  <si>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</si>
  <si>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</si>
  <si>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</si>
  <si>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</si>
  <si>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</si>
  <si>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</si>
  <si>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</si>
  <si>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</si>
  <si>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</si>
  <si>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</si>
  <si>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</si>
  <si>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</si>
  <si>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</si>
  <si>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</si>
  <si>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</si>
  <si>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</si>
  <si>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</si>
  <si>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</si>
  <si>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</si>
  <si>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</si>
  <si>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</si>
  <si>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</si>
  <si>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</si>
  <si>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</si>
  <si>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</si>
  <si>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</si>
  <si>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</si>
  <si>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</si>
  <si>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</si>
  <si>
    <t>Asistencia 3er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</si>
</sst>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21" fontId="0" fillId="0" borderId="1" xfId="0" applyNumberFormat="1" applyFill="1" applyBorder="1" applyAlignment="1">
      <alignment horizontal="center"/>
    </xf>
    <xf numFmtId="166" fontId="0" fillId="0" borderId="1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27"/>
  <sheetViews>
    <sheetView tabSelected="1" zoomScale="130" zoomScaleNormal="130" workbookViewId="0">
      <selection activeCell="D4" sqref="D4:D23"/>
    </sheetView>
  </sheetViews>
  <sheetFormatPr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hidden="1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hidden="1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hidden="1" customWidth="1"/>
    <col min="42" max="42" width="13.28515625" hidden="1" customWidth="1"/>
    <col min="43" max="43" width="11.5703125" customWidth="1"/>
    <col min="44" max="44" width="13.28515625" hidden="1" customWidth="1"/>
    <col min="45" max="45" width="11.5703125" customWidth="1"/>
    <col min="46" max="46" width="13.28515625" hidden="1" customWidth="1"/>
    <col min="47" max="47" width="11.5703125" bestFit="1" customWidth="1"/>
    <col min="48" max="48" width="16" style="1" hidden="1" customWidth="1"/>
    <col min="49" max="49" width="11.28515625" style="1" bestFit="1" customWidth="1"/>
    <col min="50" max="50" width="10.5703125" style="1" customWidth="1"/>
  </cols>
  <sheetData>
    <row r="1" spans="1:51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s="62" t="s">
        <v>104</v>
      </c>
      <c r="AQ1" s="63">
        <v>45954</v>
      </c>
      <c r="AR1" s="62" t="s">
        <v>104</v>
      </c>
      <c r="AS1" s="63">
        <v>45961</v>
      </c>
      <c r="AT1" s="62" t="s">
        <v>104</v>
      </c>
      <c r="AU1" s="63">
        <v>45968</v>
      </c>
      <c r="AV1" s="62" t="s">
        <v>104</v>
      </c>
      <c r="AW1" s="63">
        <v>45975</v>
      </c>
    </row>
    <row r="2" spans="1:51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s="62" t="s">
        <v>105</v>
      </c>
      <c r="AQ2" s="64">
        <v>8.458333333333333E-2</v>
      </c>
      <c r="AR2" s="62" t="s">
        <v>105</v>
      </c>
      <c r="AS2" s="64">
        <v>7.8993055555555552E-2</v>
      </c>
      <c r="AT2" s="62" t="s">
        <v>105</v>
      </c>
      <c r="AU2" s="64">
        <v>9.5914351851851848E-2</v>
      </c>
      <c r="AV2" s="62" t="s">
        <v>105</v>
      </c>
      <c r="AW2" s="64">
        <v>7.3194444444444451E-2</v>
      </c>
    </row>
    <row r="3" spans="1:51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 s="22" t="s">
        <v>102</v>
      </c>
      <c r="AW3" s="22" t="s">
        <v>103</v>
      </c>
      <c r="AX3" s="22" t="s">
        <v>153</v>
      </c>
      <c r="AY3"/>
    </row>
    <row r="4" spans="1:51">
      <c r="A4" s="3">
        <v>1107836732</v>
      </c>
      <c r="B4" s="2" t="s">
        <v>20</v>
      </c>
      <c r="C4" s="2" t="s">
        <v>21</v>
      </c>
      <c r="D4" s="18" t="s">
        <v>1</v>
      </c>
      <c r="E4" s="3">
        <v>1</v>
      </c>
      <c r="F4" s="2" t="s">
        <v>75</v>
      </c>
      <c r="G4" s="3">
        <v>4</v>
      </c>
      <c r="H4" s="3" t="str" cm="1">
        <f t="array" ref="H4">_xlfn.IFS(G4=1, "2:00 PM", G4=2, "2:30 PM", G4=3, "3:00 PM", G4=4, "3:30 PM")</f>
        <v>3:30 PM</v>
      </c>
      <c r="I4" s="14">
        <v>3</v>
      </c>
      <c r="J4" s="3">
        <v>3</v>
      </c>
      <c r="K4" s="3">
        <v>4.5</v>
      </c>
      <c r="L4" s="5">
        <f>(J4/I4)*K4</f>
        <v>4.5</v>
      </c>
      <c r="M4" s="12">
        <v>3.59</v>
      </c>
      <c r="N4" s="12"/>
      <c r="O4" s="12">
        <v>4.5</v>
      </c>
      <c r="P4" s="5">
        <f>0.7*L4+0.2*M4+0.1*O4+N4</f>
        <v>4.3179999999999996</v>
      </c>
      <c r="Q4" s="31">
        <v>1.474537037037037E-2</v>
      </c>
      <c r="R4" s="32">
        <f>Q4/$R$2</f>
        <v>0.70777777777777784</v>
      </c>
      <c r="S4" s="33">
        <v>2.0833333333333332E-2</v>
      </c>
      <c r="T4" s="32">
        <f>S4/$T$2</f>
        <v>1</v>
      </c>
      <c r="U4" s="32">
        <v>1</v>
      </c>
      <c r="V4" s="34">
        <v>1</v>
      </c>
      <c r="W4" s="12">
        <f>AVERAGE(R4,T4,V4)*5</f>
        <v>4.5129629629629626</v>
      </c>
      <c r="X4" s="35"/>
      <c r="Y4" s="35"/>
      <c r="Z4" s="35"/>
      <c r="AA4" s="35">
        <v>4</v>
      </c>
      <c r="AB4" s="35"/>
      <c r="AC4" s="35">
        <f>AVERAGE(X4:AB4)</f>
        <v>4</v>
      </c>
      <c r="AD4" s="5">
        <v>4</v>
      </c>
      <c r="AE4" s="5">
        <v>0</v>
      </c>
      <c r="AF4" s="5">
        <v>4.0769230769230766</v>
      </c>
      <c r="AG4" s="5">
        <f>0.3*AF4+0.7*AVERAGE(AC4:AE4)</f>
        <v>3.0897435897435894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>AVERAGE(AH4:AL4)</f>
        <v>4.42</v>
      </c>
      <c r="AN4" s="5">
        <v>4</v>
      </c>
      <c r="AO4" s="5">
        <f>0.3*AN4+0.6*AM4+0.05*AG4+0.05*W4</f>
        <v>4.2321353276353273</v>
      </c>
      <c r="AP4" s="33">
        <v>0</v>
      </c>
      <c r="AQ4" s="57">
        <f>AP4/0.0170138888888889</f>
        <v>0</v>
      </c>
      <c r="AR4" s="33">
        <v>0</v>
      </c>
      <c r="AS4" s="57">
        <f>AR4/0.0163310185185185</f>
        <v>0</v>
      </c>
      <c r="AT4" s="33">
        <v>0</v>
      </c>
      <c r="AU4" s="57">
        <f>AT4/0.0328240740740741</f>
        <v>0</v>
      </c>
      <c r="AV4" s="33">
        <v>2.0821759259259259E-2</v>
      </c>
      <c r="AW4" s="57">
        <f>AV4/0.0208217592592593</f>
        <v>0.999999999999998</v>
      </c>
      <c r="AX4" s="12">
        <f>AVERAGE(AQ4,AS4,AU4,AW4)*5</f>
        <v>1.2499999999999976</v>
      </c>
      <c r="AY4" s="56"/>
    </row>
    <row r="5" spans="1:51" s="48" customFormat="1">
      <c r="A5" s="37">
        <v>1005785832</v>
      </c>
      <c r="B5" s="38" t="s">
        <v>22</v>
      </c>
      <c r="C5" s="38" t="s">
        <v>23</v>
      </c>
      <c r="D5" s="39" t="s">
        <v>2</v>
      </c>
      <c r="E5" s="37">
        <v>2</v>
      </c>
      <c r="F5" s="38" t="s">
        <v>61</v>
      </c>
      <c r="G5" s="37">
        <v>1</v>
      </c>
      <c r="H5" s="37" t="str" cm="1">
        <f t="array" ref="H5">_xlfn.IFS(G5=1, "2:00 PM", G5=2, "2:30 PM", G5=3, "3:00 PM", G5=4, "3:30 PM")</f>
        <v>2:00 PM</v>
      </c>
      <c r="I5" s="40">
        <v>7</v>
      </c>
      <c r="J5" s="37">
        <v>7</v>
      </c>
      <c r="K5" s="41">
        <v>4.8</v>
      </c>
      <c r="L5" s="41">
        <f>(J5/I5)*K5</f>
        <v>4.8</v>
      </c>
      <c r="M5" s="42">
        <v>3.55</v>
      </c>
      <c r="N5" s="42">
        <f>1/20</f>
        <v>0.05</v>
      </c>
      <c r="O5" s="42">
        <v>4.7</v>
      </c>
      <c r="P5" s="41">
        <f>0.7*L5+0.2*M5+0.1*O5+N5</f>
        <v>4.59</v>
      </c>
      <c r="Q5" s="43">
        <v>1.5520833333333333E-2</v>
      </c>
      <c r="R5" s="44">
        <f>Q5/$R$2</f>
        <v>0.745</v>
      </c>
      <c r="S5" s="45">
        <v>2.0833333333333332E-2</v>
      </c>
      <c r="T5" s="44">
        <f>S5/$T$2</f>
        <v>1</v>
      </c>
      <c r="U5" s="44">
        <v>1</v>
      </c>
      <c r="V5" s="46">
        <v>0.8</v>
      </c>
      <c r="W5" s="52">
        <f>AVERAGE(R5,T5,V5)*5</f>
        <v>4.2416666666666663</v>
      </c>
      <c r="X5" s="47">
        <v>3</v>
      </c>
      <c r="Y5" s="47"/>
      <c r="Z5" s="47"/>
      <c r="AA5" s="47">
        <v>4</v>
      </c>
      <c r="AB5" s="47"/>
      <c r="AC5" s="47">
        <f>AVERAGE(X5:AB5)</f>
        <v>3.5</v>
      </c>
      <c r="AD5" s="41">
        <v>4.5</v>
      </c>
      <c r="AE5" s="41"/>
      <c r="AF5" s="41">
        <v>4.9285714285714288</v>
      </c>
      <c r="AG5" s="51">
        <f>0.2*AF5+0.8*AVERAGE(AC5:AE5)</f>
        <v>4.1857142857142859</v>
      </c>
      <c r="AH5" s="41">
        <v>4.8</v>
      </c>
      <c r="AI5" s="41">
        <v>4.8</v>
      </c>
      <c r="AJ5" s="41">
        <v>4.5</v>
      </c>
      <c r="AK5" s="41">
        <v>5</v>
      </c>
      <c r="AL5" s="41">
        <v>4.5</v>
      </c>
      <c r="AM5" s="51">
        <f>AVERAGE(AH5:AL5)</f>
        <v>4.7200000000000006</v>
      </c>
      <c r="AN5" s="51">
        <v>4.5</v>
      </c>
      <c r="AO5" s="41">
        <f>0.3*AN5+0.6*AM5+0.05*AG5+0.05*W5</f>
        <v>4.6033690476190481</v>
      </c>
      <c r="AP5" s="45">
        <v>2.3009259259259261E-2</v>
      </c>
      <c r="AQ5" s="58">
        <f>AP5/0.0230324074074074</f>
        <v>0.99899497487437217</v>
      </c>
      <c r="AR5" s="45">
        <v>1.6770833333333332E-2</v>
      </c>
      <c r="AS5" s="58">
        <f>AR5/0.0230324074074074</f>
        <v>0.72814070351758808</v>
      </c>
      <c r="AT5" s="45">
        <v>1.6238425925925927E-2</v>
      </c>
      <c r="AU5" s="58">
        <f>AT5/0.0162615740740741</f>
        <v>0.9985765124555146</v>
      </c>
      <c r="AV5" s="45">
        <v>8.2986111111111108E-3</v>
      </c>
      <c r="AW5" s="58">
        <f>AV5/0.0102314814814815</f>
        <v>0.81108597285067729</v>
      </c>
      <c r="AX5" s="42">
        <f>AVERAGE(AQ5,AS5,AU5,AW5)*5</f>
        <v>4.4209977046226898</v>
      </c>
      <c r="AY5" s="56"/>
    </row>
    <row r="6" spans="1:51">
      <c r="A6" s="3">
        <v>1110364376</v>
      </c>
      <c r="B6" s="2" t="s">
        <v>24</v>
      </c>
      <c r="C6" s="2" t="s">
        <v>25</v>
      </c>
      <c r="D6" s="18" t="s">
        <v>3</v>
      </c>
      <c r="E6" s="3">
        <v>1</v>
      </c>
      <c r="F6" s="2" t="s">
        <v>68</v>
      </c>
      <c r="G6" s="3">
        <v>4</v>
      </c>
      <c r="H6" s="3" t="str" cm="1">
        <f t="array" ref="H6">_xlfn.IFS(G6=1, "2:00 PM", G6=2, "2:30 PM", G6=3, "3:00 PM", G6=4, "3:30 PM")</f>
        <v>3:30 PM</v>
      </c>
      <c r="I6" s="14">
        <v>3</v>
      </c>
      <c r="J6" s="3">
        <v>3</v>
      </c>
      <c r="K6" s="3">
        <v>4.8</v>
      </c>
      <c r="L6" s="5">
        <f>(J6/I6)*K6</f>
        <v>4.8</v>
      </c>
      <c r="M6" s="12">
        <v>3.59</v>
      </c>
      <c r="N6" s="12">
        <f>1/16</f>
        <v>6.25E-2</v>
      </c>
      <c r="O6" s="12">
        <v>4.5</v>
      </c>
      <c r="P6" s="5">
        <f>0.7*L6+0.2*M6+0.1*O6+N6</f>
        <v>4.5904999999999996</v>
      </c>
      <c r="Q6" s="31">
        <v>1.412037037037037E-2</v>
      </c>
      <c r="R6" s="32">
        <f>Q6/$R$2</f>
        <v>0.67777777777777781</v>
      </c>
      <c r="S6" s="33">
        <v>0</v>
      </c>
      <c r="T6" s="32">
        <f>S6/$T$2</f>
        <v>0</v>
      </c>
      <c r="U6" s="32">
        <v>1</v>
      </c>
      <c r="V6" s="34">
        <v>0</v>
      </c>
      <c r="W6" s="12">
        <v>3</v>
      </c>
      <c r="X6" s="35"/>
      <c r="Y6" s="35">
        <v>2</v>
      </c>
      <c r="Z6" s="35">
        <v>2</v>
      </c>
      <c r="AA6" s="35"/>
      <c r="AB6" s="35"/>
      <c r="AC6" s="35">
        <f>AVERAGE(X6:AB6)</f>
        <v>2</v>
      </c>
      <c r="AD6" s="5">
        <v>4.5</v>
      </c>
      <c r="AE6" s="5">
        <v>4</v>
      </c>
      <c r="AF6" s="5">
        <v>4.9230769230769234</v>
      </c>
      <c r="AG6" s="5">
        <f>0.2*AF6+0.8*AVERAGE(AC6:AE6)</f>
        <v>3.7846153846153849</v>
      </c>
      <c r="AH6" s="5">
        <v>4.3</v>
      </c>
      <c r="AI6" s="5">
        <v>4</v>
      </c>
      <c r="AJ6" s="5">
        <v>4.5</v>
      </c>
      <c r="AK6" s="5">
        <v>4.8</v>
      </c>
      <c r="AL6" s="5">
        <v>4.5</v>
      </c>
      <c r="AM6" s="5">
        <f>AVERAGE(AH6:AL6)</f>
        <v>4.42</v>
      </c>
      <c r="AN6" s="5">
        <v>4</v>
      </c>
      <c r="AO6" s="5">
        <f>0.3*AN6+0.6*AM6+0.05*AG6+0.05*W6</f>
        <v>4.1912307692307689</v>
      </c>
      <c r="AP6" s="33">
        <v>1.7013888888888887E-2</v>
      </c>
      <c r="AQ6" s="57">
        <f>AP6/0.0170138888888889</f>
        <v>0.99999999999999922</v>
      </c>
      <c r="AR6" s="33">
        <v>1.6331018518518519E-2</v>
      </c>
      <c r="AS6" s="57">
        <f>AR6/0.0163310185185185</f>
        <v>1.0000000000000011</v>
      </c>
      <c r="AT6" s="33">
        <v>0</v>
      </c>
      <c r="AU6" s="57">
        <v>0.6</v>
      </c>
      <c r="AV6" s="33">
        <v>0</v>
      </c>
      <c r="AW6" s="57">
        <f>AV6/0.0208217592592593</f>
        <v>0</v>
      </c>
      <c r="AX6" s="12">
        <f>AVERAGE(AQ6,AS6,AU6,AW6)*5</f>
        <v>3.2500000000000009</v>
      </c>
      <c r="AY6" s="48"/>
    </row>
    <row r="7" spans="1:51" s="48" customFormat="1">
      <c r="A7" s="37">
        <v>1005894053</v>
      </c>
      <c r="B7" s="38" t="s">
        <v>26</v>
      </c>
      <c r="C7" s="38" t="s">
        <v>27</v>
      </c>
      <c r="D7" s="39" t="s">
        <v>4</v>
      </c>
      <c r="E7" s="37">
        <v>4</v>
      </c>
      <c r="F7" s="38" t="s">
        <v>94</v>
      </c>
      <c r="G7" s="37">
        <v>3</v>
      </c>
      <c r="H7" s="37" t="str" cm="1">
        <f t="array" ref="H7">_xlfn.IFS(G7=1, "2:00 PM", G7=2, "2:30 PM", G7=3, "3:00 PM", G7=4, "3:30 PM")</f>
        <v>3:00 PM</v>
      </c>
      <c r="I7" s="40">
        <v>3</v>
      </c>
      <c r="J7" s="37">
        <v>3</v>
      </c>
      <c r="K7" s="41">
        <v>4.5999999999999996</v>
      </c>
      <c r="L7" s="41">
        <f>(J7/I7)*K7</f>
        <v>4.5999999999999996</v>
      </c>
      <c r="M7" s="42">
        <v>2.96</v>
      </c>
      <c r="N7" s="42"/>
      <c r="O7" s="42">
        <v>3.5</v>
      </c>
      <c r="P7" s="41">
        <f>0.7*L7+0.2*M7+0.1*O7+N7</f>
        <v>4.1619999999999999</v>
      </c>
      <c r="Q7" s="43">
        <v>2.1342592592592594E-2</v>
      </c>
      <c r="R7" s="44">
        <f>Q7/$R$2</f>
        <v>1.0244444444444445</v>
      </c>
      <c r="S7" s="45">
        <v>2.0833333333333332E-2</v>
      </c>
      <c r="T7" s="44">
        <f>S7/$T$2</f>
        <v>1</v>
      </c>
      <c r="U7" s="44">
        <v>1</v>
      </c>
      <c r="V7" s="46">
        <v>1</v>
      </c>
      <c r="W7" s="52">
        <v>5</v>
      </c>
      <c r="X7" s="47">
        <v>5</v>
      </c>
      <c r="Y7" s="47"/>
      <c r="Z7" s="47"/>
      <c r="AA7" s="47"/>
      <c r="AB7" s="47"/>
      <c r="AC7" s="47">
        <f>AVERAGE(X7:AB7)</f>
        <v>5</v>
      </c>
      <c r="AD7" s="41">
        <v>4.5</v>
      </c>
      <c r="AE7" s="41">
        <v>4</v>
      </c>
      <c r="AF7" s="41">
        <v>4.666666666666667</v>
      </c>
      <c r="AG7" s="51">
        <f>0.2*AF7+0.8*AVERAGE(AC7:AE7)</f>
        <v>4.5333333333333332</v>
      </c>
      <c r="AH7" s="41">
        <v>4.8</v>
      </c>
      <c r="AI7" s="41">
        <v>4.5</v>
      </c>
      <c r="AJ7" s="41">
        <v>4.5</v>
      </c>
      <c r="AK7" s="41">
        <v>3.5</v>
      </c>
      <c r="AL7" s="41">
        <v>3</v>
      </c>
      <c r="AM7" s="51">
        <f>AVERAGE(AH7:AL7)</f>
        <v>4.0600000000000005</v>
      </c>
      <c r="AN7" s="51">
        <v>4</v>
      </c>
      <c r="AO7" s="41">
        <f>0.3*AN7+0.6*AM7+0.05*AG7+0.05*W7</f>
        <v>4.1126666666666667</v>
      </c>
      <c r="AP7" s="45">
        <v>1.7777777777777778E-2</v>
      </c>
      <c r="AQ7" s="58">
        <f>AP7/0.0252083333333333</f>
        <v>0.70523415977961523</v>
      </c>
      <c r="AR7" s="45">
        <v>2.1342592592592594E-2</v>
      </c>
      <c r="AS7" s="58">
        <f>AR7/0.0236226851851852</f>
        <v>0.90347868691817679</v>
      </c>
      <c r="AT7" s="45">
        <v>2.5532407407407406E-2</v>
      </c>
      <c r="AU7" s="58">
        <f>AT7/0.0277314814814815</f>
        <v>0.92070116861435669</v>
      </c>
      <c r="AV7" s="45">
        <v>0</v>
      </c>
      <c r="AW7" s="58">
        <f>AV7/0.0115277777777778</f>
        <v>0</v>
      </c>
      <c r="AX7" s="42">
        <f>AVERAGE(AQ7,AS7,AU7,AW7)*5</f>
        <v>3.1617675191401862</v>
      </c>
    </row>
    <row r="8" spans="1:51">
      <c r="A8" s="3">
        <v>1081728000</v>
      </c>
      <c r="B8" s="2" t="s">
        <v>28</v>
      </c>
      <c r="C8" s="2" t="s">
        <v>29</v>
      </c>
      <c r="D8" s="18" t="s">
        <v>5</v>
      </c>
      <c r="E8" s="3">
        <v>3</v>
      </c>
      <c r="F8" s="2" t="s">
        <v>73</v>
      </c>
      <c r="G8" s="3">
        <v>2</v>
      </c>
      <c r="H8" s="3" t="str" cm="1">
        <f t="array" ref="H8">_xlfn.IFS(G8=1, "2:00 PM", G8=2, "2:30 PM", G8=3, "3:00 PM", G8=4, "3:30 PM")</f>
        <v>2:30 PM</v>
      </c>
      <c r="I8" s="14">
        <v>5</v>
      </c>
      <c r="J8" s="3">
        <v>5</v>
      </c>
      <c r="K8" s="5">
        <v>4.8</v>
      </c>
      <c r="L8" s="5">
        <f>(J8/I8)*K8</f>
        <v>4.8</v>
      </c>
      <c r="M8" s="12">
        <v>2.76</v>
      </c>
      <c r="N8" s="12"/>
      <c r="O8" s="12">
        <v>3</v>
      </c>
      <c r="P8" s="5">
        <f>0.7*L8+0.2*M8+0.1*O8+N8</f>
        <v>4.2119999999999997</v>
      </c>
      <c r="Q8" s="31">
        <v>9.9305555555555553E-3</v>
      </c>
      <c r="R8" s="32">
        <f>Q8/$R$2</f>
        <v>0.47666666666666668</v>
      </c>
      <c r="S8" s="33">
        <v>2.0833333333333332E-2</v>
      </c>
      <c r="T8" s="32">
        <f>S8/$T$2</f>
        <v>1</v>
      </c>
      <c r="U8" s="32">
        <v>1</v>
      </c>
      <c r="V8" s="34">
        <v>1</v>
      </c>
      <c r="W8" s="12">
        <f>AVERAGE(R8,T8,V8)*5</f>
        <v>4.1277777777777773</v>
      </c>
      <c r="X8" s="35">
        <v>2</v>
      </c>
      <c r="Y8" s="35"/>
      <c r="Z8" s="35"/>
      <c r="AA8" s="35">
        <v>1</v>
      </c>
      <c r="AB8" s="35"/>
      <c r="AC8" s="35">
        <f>AVERAGE(X8:AB8)</f>
        <v>1.5</v>
      </c>
      <c r="AD8" s="5">
        <v>4</v>
      </c>
      <c r="AE8" s="5">
        <v>4</v>
      </c>
      <c r="AF8" s="5">
        <v>4.615384615384615</v>
      </c>
      <c r="AG8" s="5">
        <f>0.2*AF8+0.8*AVERAGE(AC8:AE8)</f>
        <v>3.4564102564102561</v>
      </c>
      <c r="AH8" s="5">
        <v>4</v>
      </c>
      <c r="AI8" s="5">
        <v>4.7</v>
      </c>
      <c r="AJ8" s="5">
        <v>4.5</v>
      </c>
      <c r="AK8" s="5">
        <v>4</v>
      </c>
      <c r="AL8" s="5">
        <v>4.3</v>
      </c>
      <c r="AM8" s="5">
        <f>AVERAGE(AH8:AL8)</f>
        <v>4.3</v>
      </c>
      <c r="AN8" s="5">
        <v>0</v>
      </c>
      <c r="AO8" s="5">
        <f>0.3*AN8+0.6*AM8+0.05*AG8+0.05*W8</f>
        <v>2.9592094017094013</v>
      </c>
      <c r="AP8" s="59">
        <v>1.9305555555555555E-2</v>
      </c>
      <c r="AQ8" s="60">
        <f>AP8/0.0221875</f>
        <v>0.87010954616588421</v>
      </c>
      <c r="AR8" s="59">
        <v>1.3553240740740741E-2</v>
      </c>
      <c r="AS8" s="60">
        <f>AR8/0.0181481481481481</f>
        <v>0.74681122448979786</v>
      </c>
      <c r="AT8" s="59">
        <v>2.5300925925925925E-2</v>
      </c>
      <c r="AU8" s="60">
        <f>AT8/0.0282407407407407</f>
        <v>0.89590163934426348</v>
      </c>
      <c r="AV8" s="59">
        <v>5.0000000000000001E-3</v>
      </c>
      <c r="AW8" s="60">
        <f>AV8/0.0189351851851852</f>
        <v>0.26405867970660124</v>
      </c>
      <c r="AX8" s="61">
        <f>AVERAGE(AQ8,AS8,AU8,AW8)*5</f>
        <v>3.471101362133183</v>
      </c>
      <c r="AY8" s="56"/>
    </row>
    <row r="9" spans="1:51" s="48" customFormat="1">
      <c r="A9" s="37">
        <v>1062274189</v>
      </c>
      <c r="B9" s="38" t="s">
        <v>30</v>
      </c>
      <c r="C9" s="38" t="s">
        <v>31</v>
      </c>
      <c r="D9" s="39" t="s">
        <v>6</v>
      </c>
      <c r="E9" s="37">
        <v>3</v>
      </c>
      <c r="F9" s="38" t="s">
        <v>67</v>
      </c>
      <c r="G9" s="37">
        <v>2</v>
      </c>
      <c r="H9" s="37" t="str" cm="1">
        <f t="array" ref="H9">_xlfn.IFS(G9=1, "2:00 PM", G9=2, "2:30 PM", G9=3, "3:00 PM", G9=4, "3:30 PM")</f>
        <v>2:30 PM</v>
      </c>
      <c r="I9" s="40">
        <v>5</v>
      </c>
      <c r="J9" s="37">
        <v>3</v>
      </c>
      <c r="K9" s="41">
        <v>4.5</v>
      </c>
      <c r="L9" s="41">
        <f>(J9/I9)*K9</f>
        <v>2.6999999999999997</v>
      </c>
      <c r="M9" s="42">
        <v>2.76</v>
      </c>
      <c r="N9" s="42"/>
      <c r="O9" s="42">
        <v>3</v>
      </c>
      <c r="P9" s="41">
        <f>0.7*L9+0.2*M9+0.1*O9+N9</f>
        <v>2.742</v>
      </c>
      <c r="Q9" s="43">
        <v>1.8506944444444444E-2</v>
      </c>
      <c r="R9" s="44">
        <f>Q9/$R$2</f>
        <v>0.88833333333333331</v>
      </c>
      <c r="S9" s="45">
        <v>2.0833333333333332E-2</v>
      </c>
      <c r="T9" s="44">
        <f>S9/$T$2</f>
        <v>1</v>
      </c>
      <c r="U9" s="44">
        <v>1</v>
      </c>
      <c r="V9" s="46">
        <v>0.8</v>
      </c>
      <c r="W9" s="52">
        <f>AVERAGE(R9,T9,V9)*5</f>
        <v>4.4805555555555561</v>
      </c>
      <c r="X9" s="47">
        <v>2</v>
      </c>
      <c r="Y9" s="47">
        <v>1</v>
      </c>
      <c r="Z9" s="47"/>
      <c r="AA9" s="47">
        <v>3</v>
      </c>
      <c r="AB9" s="47"/>
      <c r="AC9" s="47">
        <f>AVERAGE(X9:AB9)</f>
        <v>2</v>
      </c>
      <c r="AD9" s="41">
        <v>4</v>
      </c>
      <c r="AE9" s="41">
        <v>4</v>
      </c>
      <c r="AF9" s="41">
        <v>4.7692307692307692</v>
      </c>
      <c r="AG9" s="51">
        <f>0.2*AF9+0.8*AVERAGE(AC9:AE9)</f>
        <v>3.620512820512821</v>
      </c>
      <c r="AH9" s="41">
        <v>4</v>
      </c>
      <c r="AI9" s="41">
        <v>4.7</v>
      </c>
      <c r="AJ9" s="41">
        <v>4.5</v>
      </c>
      <c r="AK9" s="41">
        <v>4</v>
      </c>
      <c r="AL9" s="41">
        <v>4.3</v>
      </c>
      <c r="AM9" s="51">
        <f>AVERAGE(AH9:AL9)</f>
        <v>4.3</v>
      </c>
      <c r="AN9" s="51">
        <v>0</v>
      </c>
      <c r="AO9" s="41">
        <f>0.3*AN9+0.6*AM9+0.05*AG9+0.05*W9</f>
        <v>2.9850534188034183</v>
      </c>
      <c r="AP9" s="45">
        <v>2.2187499999999999E-2</v>
      </c>
      <c r="AQ9" s="58">
        <f>AP9/0.0221875</f>
        <v>1</v>
      </c>
      <c r="AR9" s="45">
        <v>1.8148148148148149E-2</v>
      </c>
      <c r="AS9" s="58">
        <f>AR9/0.0181481481481481</f>
        <v>1.0000000000000027</v>
      </c>
      <c r="AT9" s="45">
        <v>2.6921296296296297E-2</v>
      </c>
      <c r="AU9" s="58">
        <f>AT9/0.0282407407407407</f>
        <v>0.95327868852459152</v>
      </c>
      <c r="AV9" s="45">
        <v>1.8935185185185187E-2</v>
      </c>
      <c r="AW9" s="58">
        <f>AV9/0.0189351851851852</f>
        <v>0.99999999999999922</v>
      </c>
      <c r="AX9" s="42">
        <f>AVERAGE(AQ9,AS9,AU9,AW9)*5</f>
        <v>4.9415983606557417</v>
      </c>
      <c r="AY9" s="56"/>
    </row>
    <row r="10" spans="1:51">
      <c r="A10" s="3">
        <v>1193073115</v>
      </c>
      <c r="B10" s="2" t="s">
        <v>32</v>
      </c>
      <c r="C10" s="2" t="s">
        <v>33</v>
      </c>
      <c r="D10" s="18" t="s">
        <v>7</v>
      </c>
      <c r="E10" s="3">
        <v>4</v>
      </c>
      <c r="F10" s="2" t="s">
        <v>63</v>
      </c>
      <c r="G10" s="3">
        <v>3</v>
      </c>
      <c r="H10" s="3" t="str" cm="1">
        <f t="array" ref="H10">_xlfn.IFS(G10=1, "2:00 PM", G10=2, "2:30 PM", G10=3, "3:00 PM", G10=4, "3:30 PM")</f>
        <v>3:00 PM</v>
      </c>
      <c r="I10" s="14">
        <v>4</v>
      </c>
      <c r="J10" s="3">
        <v>4</v>
      </c>
      <c r="K10" s="5">
        <v>4.8</v>
      </c>
      <c r="L10" s="5">
        <f>(J10/I10)*K10</f>
        <v>4.8</v>
      </c>
      <c r="M10" s="12">
        <v>2.96</v>
      </c>
      <c r="N10" s="12"/>
      <c r="O10" s="12">
        <v>3.5</v>
      </c>
      <c r="P10" s="5">
        <f>0.7*L10+0.2*M10+0.1*O10+N10</f>
        <v>4.3019999999999996</v>
      </c>
      <c r="Q10" s="31">
        <v>2.0532407407407409E-2</v>
      </c>
      <c r="R10" s="32">
        <f>Q10/$R$2</f>
        <v>0.98555555555555563</v>
      </c>
      <c r="S10" s="33">
        <v>2.0833333333333332E-2</v>
      </c>
      <c r="T10" s="32">
        <f>S10/$T$2</f>
        <v>1</v>
      </c>
      <c r="U10" s="32">
        <v>1</v>
      </c>
      <c r="V10" s="34">
        <v>1</v>
      </c>
      <c r="W10" s="12">
        <f>AVERAGE(R10,T10,V10)*5</f>
        <v>4.9759259259259263</v>
      </c>
      <c r="X10" s="35">
        <v>5</v>
      </c>
      <c r="Y10" s="35">
        <v>5</v>
      </c>
      <c r="Z10" s="35">
        <v>5</v>
      </c>
      <c r="AA10" s="35"/>
      <c r="AB10" s="35"/>
      <c r="AC10" s="35">
        <f>AVERAGE(X10:AB10)</f>
        <v>5</v>
      </c>
      <c r="AD10" s="5">
        <v>5</v>
      </c>
      <c r="AE10" s="5">
        <v>4</v>
      </c>
      <c r="AF10" s="5">
        <v>4.833333333333333</v>
      </c>
      <c r="AG10" s="5">
        <f>0.2*AF10+0.8*AVERAGE(AC10:AE10)</f>
        <v>4.7</v>
      </c>
      <c r="AH10" s="5">
        <v>4.8</v>
      </c>
      <c r="AI10" s="5">
        <v>4.5</v>
      </c>
      <c r="AJ10" s="5">
        <v>4.5</v>
      </c>
      <c r="AK10" s="5">
        <v>3.5</v>
      </c>
      <c r="AL10" s="5">
        <v>3</v>
      </c>
      <c r="AM10" s="5">
        <f>AVERAGE(AH10:AL10)</f>
        <v>4.0600000000000005</v>
      </c>
      <c r="AN10" s="5">
        <v>4</v>
      </c>
      <c r="AO10" s="5">
        <f>0.3*AN10+0.6*AM10+0.05*AG10+0.05*W10</f>
        <v>4.119796296296296</v>
      </c>
      <c r="AP10" s="33">
        <v>2.5208333333333333E-2</v>
      </c>
      <c r="AQ10" s="57">
        <f>AP10/0.0252083333333333</f>
        <v>1.0000000000000013</v>
      </c>
      <c r="AR10" s="33">
        <v>2.2731481481481481E-2</v>
      </c>
      <c r="AS10" s="57">
        <f>AR10/0.0236226851851852</f>
        <v>0.96227339539441381</v>
      </c>
      <c r="AT10" s="33">
        <v>0</v>
      </c>
      <c r="AU10" s="57">
        <f>AT10/0.0277314814814815</f>
        <v>0</v>
      </c>
      <c r="AV10" s="33">
        <v>1.1527777777777777E-2</v>
      </c>
      <c r="AW10" s="57">
        <f>AV10/0.0115277777777778</f>
        <v>0.999999999999998</v>
      </c>
      <c r="AX10" s="12">
        <f>AVERAGE(AQ10,AS10,AU10,AW10)*5</f>
        <v>3.7028417442430159</v>
      </c>
      <c r="AY10" s="56"/>
    </row>
    <row r="11" spans="1:51" s="48" customFormat="1" hidden="1">
      <c r="A11" s="37">
        <v>1004189893</v>
      </c>
      <c r="B11" s="38" t="s">
        <v>101</v>
      </c>
      <c r="C11" s="38" t="s">
        <v>106</v>
      </c>
      <c r="D11" s="38"/>
      <c r="E11" s="37"/>
      <c r="F11" s="38"/>
      <c r="G11" s="37"/>
      <c r="H11" s="38"/>
      <c r="I11" s="40"/>
      <c r="J11" s="37"/>
      <c r="K11" s="37"/>
      <c r="L11" s="38"/>
      <c r="M11" s="42"/>
      <c r="N11" s="42"/>
      <c r="O11" s="42"/>
      <c r="P11" s="38"/>
      <c r="Q11" s="43">
        <v>0</v>
      </c>
      <c r="R11" s="44">
        <v>0</v>
      </c>
      <c r="S11" s="45">
        <v>0</v>
      </c>
      <c r="T11" s="44">
        <v>0</v>
      </c>
      <c r="U11" s="45">
        <v>0</v>
      </c>
      <c r="V11" s="46">
        <v>0</v>
      </c>
      <c r="W11" s="52">
        <v>0</v>
      </c>
      <c r="X11" s="47"/>
      <c r="Y11" s="47"/>
      <c r="Z11" s="47"/>
      <c r="AA11" s="47"/>
      <c r="AB11" s="47"/>
      <c r="AC11" s="47">
        <v>0</v>
      </c>
      <c r="AD11" s="41"/>
      <c r="AE11" s="41"/>
      <c r="AF11" s="41">
        <v>0</v>
      </c>
      <c r="AG11" s="51">
        <f>0.2*AF11+0.8*AVERAGE(AC11:AE11)</f>
        <v>0</v>
      </c>
      <c r="AH11" s="41">
        <v>0</v>
      </c>
      <c r="AI11" s="41">
        <v>0</v>
      </c>
      <c r="AJ11" s="41">
        <v>0</v>
      </c>
      <c r="AK11" s="41">
        <v>0</v>
      </c>
      <c r="AL11" s="41">
        <v>0</v>
      </c>
      <c r="AM11" s="51">
        <v>0</v>
      </c>
      <c r="AN11" s="51">
        <v>0</v>
      </c>
      <c r="AO11" s="41">
        <v>0</v>
      </c>
      <c r="AP11" s="41"/>
      <c r="AQ11" s="41"/>
      <c r="AR11" s="45"/>
      <c r="AS11" s="41"/>
      <c r="AT11" s="45"/>
      <c r="AU11" s="58"/>
      <c r="AV11" s="37"/>
      <c r="AW11" s="58"/>
      <c r="AX11" s="37"/>
      <c r="AY11"/>
    </row>
    <row r="12" spans="1:51">
      <c r="A12" s="3">
        <v>1005783739</v>
      </c>
      <c r="B12" s="2" t="s">
        <v>34</v>
      </c>
      <c r="C12" s="2" t="s">
        <v>35</v>
      </c>
      <c r="D12" s="18" t="s">
        <v>8</v>
      </c>
      <c r="E12" s="3">
        <v>2</v>
      </c>
      <c r="F12" s="2" t="s">
        <v>78</v>
      </c>
      <c r="G12" s="3">
        <v>1</v>
      </c>
      <c r="H12" s="3" t="str" cm="1">
        <f t="array" ref="H12">_xlfn.IFS(G12=1, "2:00 PM", G12=2, "2:30 PM", G12=3, "3:00 PM", G12=4, "3:30 PM")</f>
        <v>2:00 PM</v>
      </c>
      <c r="I12" s="14">
        <v>4</v>
      </c>
      <c r="J12" s="3">
        <v>4</v>
      </c>
      <c r="K12" s="5">
        <v>4.8</v>
      </c>
      <c r="L12" s="5">
        <f>(J12/I12)*K12</f>
        <v>4.8</v>
      </c>
      <c r="M12" s="12">
        <v>3.55</v>
      </c>
      <c r="N12" s="12">
        <f>3/20</f>
        <v>0.15</v>
      </c>
      <c r="O12" s="12">
        <v>4.7</v>
      </c>
      <c r="P12" s="5">
        <f>0.7*L12+0.2*M12+0.1*O12+N12</f>
        <v>4.6900000000000004</v>
      </c>
      <c r="Q12" s="31">
        <v>1.4976851851851852E-2</v>
      </c>
      <c r="R12" s="32">
        <f>Q12/$R$2</f>
        <v>0.71888888888888891</v>
      </c>
      <c r="S12" s="33">
        <v>2.0833333333333332E-2</v>
      </c>
      <c r="T12" s="32">
        <f>S12/$T$2</f>
        <v>1</v>
      </c>
      <c r="U12" s="32">
        <v>1</v>
      </c>
      <c r="V12" s="34">
        <v>1</v>
      </c>
      <c r="W12" s="12">
        <f>AVERAGE(R12,T12,V12)*5</f>
        <v>4.5314814814814817</v>
      </c>
      <c r="X12" s="35">
        <v>2</v>
      </c>
      <c r="Y12" s="35"/>
      <c r="Z12" s="35">
        <v>4</v>
      </c>
      <c r="AA12" s="35"/>
      <c r="AB12" s="35"/>
      <c r="AC12" s="35">
        <f>AVERAGE(X12:AB12)</f>
        <v>3</v>
      </c>
      <c r="AD12" s="5">
        <v>4.5</v>
      </c>
      <c r="AE12" s="5">
        <v>5</v>
      </c>
      <c r="AF12" s="5">
        <v>4.9285714285714288</v>
      </c>
      <c r="AG12" s="5">
        <f>0.2*AF12+0.8*AVERAGE(AC12:AE12)</f>
        <v>4.3190476190476197</v>
      </c>
      <c r="AH12" s="5">
        <v>4.8</v>
      </c>
      <c r="AI12" s="5">
        <v>4.8</v>
      </c>
      <c r="AJ12" s="5">
        <v>4.5</v>
      </c>
      <c r="AK12" s="5">
        <v>5</v>
      </c>
      <c r="AL12" s="5">
        <v>4.5</v>
      </c>
      <c r="AM12" s="5">
        <f>AVERAGE(AH12:AL12)</f>
        <v>4.7200000000000006</v>
      </c>
      <c r="AN12" s="5">
        <v>4.5</v>
      </c>
      <c r="AO12" s="5">
        <f>0.3*AN12+0.6*AM12+0.05*AG12+0.05*W12</f>
        <v>4.624526455026456</v>
      </c>
      <c r="AP12" s="33">
        <v>2.2997685185185184E-2</v>
      </c>
      <c r="AQ12" s="57">
        <f>AP12/0.0230324074074074</f>
        <v>0.99849246231155797</v>
      </c>
      <c r="AR12" s="33">
        <v>2.0706018518518519E-2</v>
      </c>
      <c r="AS12" s="57">
        <f>AR12/0.0230324074074074</f>
        <v>0.89899497487437219</v>
      </c>
      <c r="AT12" s="33">
        <v>1.6261574074074074E-2</v>
      </c>
      <c r="AU12" s="57">
        <f>AT12/0.0162615740740741</f>
        <v>0.99999999999999856</v>
      </c>
      <c r="AV12" s="33">
        <v>0</v>
      </c>
      <c r="AW12" s="57">
        <f>AV12/0.0102314814814815</f>
        <v>0</v>
      </c>
      <c r="AX12" s="12">
        <f>AVERAGE(AQ12,AS12,AU12,AW12)*5</f>
        <v>3.6218592964824108</v>
      </c>
    </row>
    <row r="13" spans="1:51" s="48" customFormat="1" ht="15.75">
      <c r="A13" s="37">
        <v>1007603017</v>
      </c>
      <c r="B13" s="38" t="s">
        <v>36</v>
      </c>
      <c r="C13" s="38" t="s">
        <v>37</v>
      </c>
      <c r="D13" s="39" t="s">
        <v>9</v>
      </c>
      <c r="E13" s="37">
        <v>3</v>
      </c>
      <c r="F13" s="49" t="s">
        <v>79</v>
      </c>
      <c r="G13" s="37">
        <v>2</v>
      </c>
      <c r="H13" s="37" t="str" cm="1">
        <f t="array" ref="H13">_xlfn.IFS(G13=1, "2:00 PM", G13=2, "2:30 PM", G13=3, "3:00 PM", G13=4, "3:30 PM")</f>
        <v>2:30 PM</v>
      </c>
      <c r="I13" s="40">
        <v>5</v>
      </c>
      <c r="J13" s="37">
        <v>5</v>
      </c>
      <c r="K13" s="41">
        <v>4.8</v>
      </c>
      <c r="L13" s="41">
        <f>(J13/I13)*K13</f>
        <v>4.8</v>
      </c>
      <c r="M13" s="42">
        <v>2.76</v>
      </c>
      <c r="N13" s="42"/>
      <c r="O13" s="42">
        <v>3</v>
      </c>
      <c r="P13" s="41">
        <f>0.7*L13+0.2*M13+0.1*O13+N13</f>
        <v>4.2119999999999997</v>
      </c>
      <c r="Q13" s="43">
        <v>1.8159722222222223E-2</v>
      </c>
      <c r="R13" s="44">
        <f>Q13/$R$2</f>
        <v>0.8716666666666667</v>
      </c>
      <c r="S13" s="45">
        <v>2.0833333333333332E-2</v>
      </c>
      <c r="T13" s="44">
        <f>S13/$T$2</f>
        <v>1</v>
      </c>
      <c r="U13" s="44">
        <v>1</v>
      </c>
      <c r="V13" s="46">
        <v>1</v>
      </c>
      <c r="W13" s="52">
        <f>AVERAGE(R13,T13,V13)*5</f>
        <v>4.7861111111111114</v>
      </c>
      <c r="X13" s="47">
        <v>4</v>
      </c>
      <c r="Y13" s="47"/>
      <c r="Z13" s="47"/>
      <c r="AA13" s="47">
        <v>5</v>
      </c>
      <c r="AB13" s="47"/>
      <c r="AC13" s="47">
        <f>AVERAGE(X13:AB13)</f>
        <v>4.5</v>
      </c>
      <c r="AD13" s="41">
        <v>4</v>
      </c>
      <c r="AE13" s="41">
        <v>4</v>
      </c>
      <c r="AF13" s="41">
        <v>4.615384615384615</v>
      </c>
      <c r="AG13" s="51">
        <f>0.2*AF13+0.8*AVERAGE(AC13:AE13)</f>
        <v>4.2564102564102573</v>
      </c>
      <c r="AH13" s="41">
        <v>4</v>
      </c>
      <c r="AI13" s="41">
        <v>4.7</v>
      </c>
      <c r="AJ13" s="41">
        <v>4.5</v>
      </c>
      <c r="AK13" s="41">
        <v>4</v>
      </c>
      <c r="AL13" s="41">
        <v>4.3</v>
      </c>
      <c r="AM13" s="51">
        <f>AVERAGE(AH13:AL13)</f>
        <v>4.3</v>
      </c>
      <c r="AN13" s="51">
        <v>0</v>
      </c>
      <c r="AO13" s="41">
        <f>0.3*AN13+0.6*AM13+0.05*AG13+0.05*W13</f>
        <v>3.0321260683760682</v>
      </c>
      <c r="AP13" s="45">
        <v>2.1921296296296296E-2</v>
      </c>
      <c r="AQ13" s="58">
        <f>AP13/0.0221875</f>
        <v>0.98800208659363598</v>
      </c>
      <c r="AR13" s="45">
        <v>1.7962962962962962E-2</v>
      </c>
      <c r="AS13" s="58">
        <f>AR13/0.0181481481481481</f>
        <v>0.98979591836734948</v>
      </c>
      <c r="AT13" s="45">
        <v>2.1087962962962965E-2</v>
      </c>
      <c r="AU13" s="58">
        <f>AT13/0.0282407407407407</f>
        <v>0.74672131147541088</v>
      </c>
      <c r="AV13" s="45">
        <v>1.8159722222222223E-2</v>
      </c>
      <c r="AW13" s="58">
        <f>AV13/0.0189351851851852</f>
        <v>0.95904645476772543</v>
      </c>
      <c r="AX13" s="42">
        <f>AVERAGE(AQ13,AS13,AU13,AW13)*5</f>
        <v>4.6044572140051523</v>
      </c>
      <c r="AY13" s="56"/>
    </row>
    <row r="14" spans="1:51">
      <c r="A14" s="3">
        <v>1062329024</v>
      </c>
      <c r="B14" s="2" t="s">
        <v>38</v>
      </c>
      <c r="C14" s="2" t="s">
        <v>39</v>
      </c>
      <c r="D14" s="18" t="s">
        <v>10</v>
      </c>
      <c r="E14" s="3">
        <v>1</v>
      </c>
      <c r="F14" s="2" t="s">
        <v>70</v>
      </c>
      <c r="G14" s="3">
        <v>4</v>
      </c>
      <c r="H14" s="3" t="str" cm="1">
        <f t="array" ref="H14">_xlfn.IFS(G14=1, "2:00 PM", G14=2, "2:30 PM", G14=3, "3:00 PM", G14=4, "3:30 PM")</f>
        <v>3:30 PM</v>
      </c>
      <c r="I14" s="14">
        <v>5</v>
      </c>
      <c r="J14" s="3">
        <v>5</v>
      </c>
      <c r="K14" s="3">
        <v>4.5</v>
      </c>
      <c r="L14" s="5">
        <f>(J14/I14)*K14</f>
        <v>4.5</v>
      </c>
      <c r="M14" s="12">
        <v>3.59</v>
      </c>
      <c r="N14" s="12"/>
      <c r="O14" s="12">
        <v>4.5</v>
      </c>
      <c r="P14" s="5">
        <f>0.7*L14+0.2*M14+0.1*O14+N14</f>
        <v>4.3179999999999996</v>
      </c>
      <c r="Q14" s="31">
        <v>0</v>
      </c>
      <c r="R14" s="32">
        <f>Q14/$R$2</f>
        <v>0</v>
      </c>
      <c r="S14" s="33">
        <v>2.0833333333333332E-2</v>
      </c>
      <c r="T14" s="32">
        <f>S14/$T$2</f>
        <v>1</v>
      </c>
      <c r="U14" s="32">
        <v>1</v>
      </c>
      <c r="V14" s="34">
        <v>1</v>
      </c>
      <c r="W14" s="12">
        <f>AVERAGE(R14,T14,V14)*5</f>
        <v>3.333333333333333</v>
      </c>
      <c r="X14" s="35"/>
      <c r="Y14" s="35">
        <v>5</v>
      </c>
      <c r="Z14" s="35">
        <v>0</v>
      </c>
      <c r="AA14" s="35"/>
      <c r="AB14" s="35"/>
      <c r="AC14" s="35">
        <f>AVERAGE(X14:AB14)</f>
        <v>2.5</v>
      </c>
      <c r="AD14" s="5">
        <v>3</v>
      </c>
      <c r="AE14" s="5">
        <v>4</v>
      </c>
      <c r="AF14" s="5">
        <v>3.8461538461538463</v>
      </c>
      <c r="AG14" s="5">
        <f>0.2*AF14+0.8*AVERAGE(AC14:AE14)</f>
        <v>3.3025641025641024</v>
      </c>
      <c r="AH14" s="5">
        <v>4.3</v>
      </c>
      <c r="AI14" s="5">
        <v>4</v>
      </c>
      <c r="AJ14" s="5">
        <v>4.5</v>
      </c>
      <c r="AK14" s="5">
        <v>4.8</v>
      </c>
      <c r="AL14" s="5">
        <v>4.5</v>
      </c>
      <c r="AM14" s="5">
        <f>AVERAGE(AH14:AL14)</f>
        <v>4.42</v>
      </c>
      <c r="AN14" s="5">
        <v>4</v>
      </c>
      <c r="AO14" s="5">
        <f>0.3*AN14+0.6*AM14+0.05*AG14+0.05*W14</f>
        <v>4.1837948717948716</v>
      </c>
      <c r="AP14" s="33">
        <v>0</v>
      </c>
      <c r="AQ14" s="57">
        <f>AP14/0.0170138888888889</f>
        <v>0</v>
      </c>
      <c r="AR14" s="33">
        <v>0</v>
      </c>
      <c r="AS14" s="57">
        <f>AR14/0.0163310185185185</f>
        <v>0</v>
      </c>
      <c r="AT14" s="33">
        <v>6.099537037037037E-3</v>
      </c>
      <c r="AU14" s="57">
        <f>AT14/0.0328240740740741</f>
        <v>0.18582510578279252</v>
      </c>
      <c r="AV14" s="33">
        <v>0</v>
      </c>
      <c r="AW14" s="57">
        <f>AV14/0.0208217592592593</f>
        <v>0</v>
      </c>
      <c r="AX14" s="12">
        <f>AVERAGE(AQ14,AS14,AU14,AW14)*5</f>
        <v>0.23228138222849065</v>
      </c>
      <c r="AY14" s="48"/>
    </row>
    <row r="15" spans="1:51" s="48" customFormat="1">
      <c r="A15" s="37">
        <v>1113698193</v>
      </c>
      <c r="B15" s="38" t="s">
        <v>40</v>
      </c>
      <c r="C15" s="38" t="s">
        <v>41</v>
      </c>
      <c r="D15" s="39" t="s">
        <v>11</v>
      </c>
      <c r="E15" s="37">
        <v>2</v>
      </c>
      <c r="F15" s="38" t="s">
        <v>93</v>
      </c>
      <c r="G15" s="37">
        <v>1</v>
      </c>
      <c r="H15" s="37" t="str" cm="1">
        <f t="array" ref="H15">_xlfn.IFS(G15=1, "2:00 PM", G15=2, "2:30 PM", G15=3, "3:00 PM", G15=4, "3:30 PM")</f>
        <v>2:00 PM</v>
      </c>
      <c r="I15" s="40">
        <v>3</v>
      </c>
      <c r="J15" s="37">
        <v>3</v>
      </c>
      <c r="K15" s="41">
        <v>4.8</v>
      </c>
      <c r="L15" s="41">
        <f>(J15/I15)*K15</f>
        <v>4.8</v>
      </c>
      <c r="M15" s="42">
        <v>3.55</v>
      </c>
      <c r="N15" s="42">
        <f>2/20</f>
        <v>0.1</v>
      </c>
      <c r="O15" s="42">
        <v>4.7</v>
      </c>
      <c r="P15" s="41">
        <f>0.7*L15+0.2*M15+0.1*O15+N15</f>
        <v>4.6399999999999997</v>
      </c>
      <c r="Q15" s="43">
        <v>1.5833333333333335E-2</v>
      </c>
      <c r="R15" s="44">
        <f>Q15/$R$2</f>
        <v>0.76000000000000012</v>
      </c>
      <c r="S15" s="45">
        <v>2.0833333333333332E-2</v>
      </c>
      <c r="T15" s="44">
        <f>S15/$T$2</f>
        <v>1</v>
      </c>
      <c r="U15" s="44">
        <v>1</v>
      </c>
      <c r="V15" s="46">
        <v>0.6</v>
      </c>
      <c r="W15" s="52">
        <f>AVERAGE(R15,T15,V15)*5</f>
        <v>3.9333333333333336</v>
      </c>
      <c r="X15" s="47">
        <v>5</v>
      </c>
      <c r="Y15" s="47"/>
      <c r="Z15" s="47"/>
      <c r="AA15" s="47">
        <v>4</v>
      </c>
      <c r="AB15" s="47"/>
      <c r="AC15" s="47">
        <f>AVERAGE(X15:AB15)</f>
        <v>4.5</v>
      </c>
      <c r="AD15" s="41">
        <v>4.5</v>
      </c>
      <c r="AE15" s="41">
        <v>5</v>
      </c>
      <c r="AF15" s="41">
        <v>4.8571428571428568</v>
      </c>
      <c r="AG15" s="51">
        <f>0.2*AF15+0.8*AVERAGE(AC15:AE15)</f>
        <v>4.7047619047619049</v>
      </c>
      <c r="AH15" s="41">
        <v>4.8</v>
      </c>
      <c r="AI15" s="41">
        <v>4.8</v>
      </c>
      <c r="AJ15" s="41">
        <v>4.5</v>
      </c>
      <c r="AK15" s="41">
        <v>5</v>
      </c>
      <c r="AL15" s="41">
        <v>4.5</v>
      </c>
      <c r="AM15" s="51">
        <f>AVERAGE(AH15:AL15)</f>
        <v>4.7200000000000006</v>
      </c>
      <c r="AN15" s="51">
        <v>4.5</v>
      </c>
      <c r="AO15" s="41">
        <f>0.3*AN15+0.6*AM15+0.05*AG15+0.05*W15</f>
        <v>4.6139047619047622</v>
      </c>
      <c r="AP15" s="45">
        <v>1.6631944444444446E-2</v>
      </c>
      <c r="AQ15" s="58">
        <f>AP15/0.0230324074074074</f>
        <v>0.72211055276381941</v>
      </c>
      <c r="AR15" s="45">
        <v>2.0706018518518519E-2</v>
      </c>
      <c r="AS15" s="58">
        <f>AR15/0.0230324074074074</f>
        <v>0.89899497487437219</v>
      </c>
      <c r="AT15" s="45">
        <v>0</v>
      </c>
      <c r="AU15" s="58">
        <f>AT15/0.0162615740740741</f>
        <v>0</v>
      </c>
      <c r="AV15" s="45">
        <v>2.9166666666666668E-3</v>
      </c>
      <c r="AW15" s="58">
        <f>AV15/0.0102314814814815</f>
        <v>0.28506787330316691</v>
      </c>
      <c r="AX15" s="42">
        <f>AVERAGE(AQ15,AS15,AU15,AW15)*5</f>
        <v>2.382716751176698</v>
      </c>
      <c r="AY15" s="56"/>
    </row>
    <row r="16" spans="1:51">
      <c r="A16" s="3">
        <v>1005967544</v>
      </c>
      <c r="B16" s="2" t="s">
        <v>42</v>
      </c>
      <c r="C16" s="2" t="s">
        <v>43</v>
      </c>
      <c r="D16" s="18" t="s">
        <v>12</v>
      </c>
      <c r="E16" s="3">
        <v>1</v>
      </c>
      <c r="F16" s="2" t="s">
        <v>71</v>
      </c>
      <c r="G16" s="3">
        <v>4</v>
      </c>
      <c r="H16" s="3" t="str" cm="1">
        <f t="array" ref="H16">_xlfn.IFS(G16=1, "2:00 PM", G16=2, "2:30 PM", G16=3, "3:00 PM", G16=4, "3:30 PM")</f>
        <v>3:30 PM</v>
      </c>
      <c r="I16" s="14">
        <v>1</v>
      </c>
      <c r="J16" s="3">
        <v>1</v>
      </c>
      <c r="K16" s="3">
        <v>4.5999999999999996</v>
      </c>
      <c r="L16" s="5">
        <f>(J16/I16)*K16</f>
        <v>4.5999999999999996</v>
      </c>
      <c r="M16" s="12">
        <v>3.59</v>
      </c>
      <c r="N16" s="12"/>
      <c r="O16" s="12">
        <v>4.5</v>
      </c>
      <c r="P16" s="5">
        <f>0.7*L16+0.2*M16+0.1*O16+N16</f>
        <v>4.3879999999999999</v>
      </c>
      <c r="Q16" s="31">
        <v>1.3935185185185186E-2</v>
      </c>
      <c r="R16" s="32">
        <f>Q16/$R$2</f>
        <v>0.66888888888888898</v>
      </c>
      <c r="S16" s="33">
        <v>2.0833333333333332E-2</v>
      </c>
      <c r="T16" s="32">
        <f>S16/$T$2</f>
        <v>1</v>
      </c>
      <c r="U16" s="32">
        <v>1</v>
      </c>
      <c r="V16" s="34">
        <v>1</v>
      </c>
      <c r="W16" s="12">
        <f>AVERAGE(R16,T16,V16)*5</f>
        <v>4.4481481481481486</v>
      </c>
      <c r="X16" s="35"/>
      <c r="Y16" s="35">
        <v>0</v>
      </c>
      <c r="Z16" s="35"/>
      <c r="AA16" s="35">
        <v>0</v>
      </c>
      <c r="AB16" s="35"/>
      <c r="AC16" s="35">
        <f>AVERAGE(X16:AB16)</f>
        <v>0</v>
      </c>
      <c r="AD16" s="5">
        <v>4</v>
      </c>
      <c r="AE16" s="5">
        <v>4</v>
      </c>
      <c r="AF16" s="5">
        <v>4.916666666666667</v>
      </c>
      <c r="AG16" s="5">
        <f>0.2*AF16+0.8*AVERAGE(AC16:AE16)</f>
        <v>3.1166666666666667</v>
      </c>
      <c r="AH16" s="5">
        <v>4.3</v>
      </c>
      <c r="AI16" s="5">
        <v>4</v>
      </c>
      <c r="AJ16" s="5">
        <v>4.5</v>
      </c>
      <c r="AK16" s="5">
        <v>4.8</v>
      </c>
      <c r="AL16" s="5">
        <v>4.5</v>
      </c>
      <c r="AM16" s="5">
        <f>AVERAGE(AH16:AL16)</f>
        <v>4.42</v>
      </c>
      <c r="AN16" s="5">
        <v>4</v>
      </c>
      <c r="AO16" s="5">
        <f>0.3*AN16+0.6*AM16+0.05*AG16+0.05*W16</f>
        <v>4.230240740740741</v>
      </c>
      <c r="AP16" s="33">
        <v>1.6909722222222222E-2</v>
      </c>
      <c r="AQ16" s="57">
        <f>AP16/0.0170138888888889</f>
        <v>0.99387755102040742</v>
      </c>
      <c r="AR16" s="33">
        <v>0</v>
      </c>
      <c r="AS16" s="57">
        <f>AR16/0.0163310185185185</f>
        <v>0</v>
      </c>
      <c r="AT16" s="33">
        <v>3.2361111111111111E-2</v>
      </c>
      <c r="AU16" s="57">
        <f>AT16/0.0328240740740741</f>
        <v>0.98589562764456895</v>
      </c>
      <c r="AV16" s="33">
        <v>2.0787037037037038E-2</v>
      </c>
      <c r="AW16" s="57">
        <f>AV16/0.0208217592592593</f>
        <v>0.9983324068927163</v>
      </c>
      <c r="AX16" s="12">
        <f>AVERAGE(AQ16,AS16,AU16,AW16)*5</f>
        <v>3.7226319819471159</v>
      </c>
      <c r="AY16" s="56"/>
    </row>
    <row r="17" spans="1:51" s="48" customFormat="1">
      <c r="A17" s="37">
        <v>1005832925</v>
      </c>
      <c r="B17" s="38" t="s">
        <v>44</v>
      </c>
      <c r="C17" s="38" t="s">
        <v>45</v>
      </c>
      <c r="D17" s="39" t="s">
        <v>13</v>
      </c>
      <c r="E17" s="37">
        <v>2</v>
      </c>
      <c r="F17" s="38" t="s">
        <v>66</v>
      </c>
      <c r="G17" s="37">
        <v>1</v>
      </c>
      <c r="H17" s="37" t="str" cm="1">
        <f t="array" ref="H17">_xlfn.IFS(G17=1, "2:00 PM", G17=2, "2:30 PM", G17=3, "3:00 PM", G17=4, "3:30 PM")</f>
        <v>2:00 PM</v>
      </c>
      <c r="I17" s="40">
        <v>11</v>
      </c>
      <c r="J17" s="37">
        <v>11</v>
      </c>
      <c r="K17" s="41">
        <v>4.8</v>
      </c>
      <c r="L17" s="41">
        <f>(J17/I17)*K17</f>
        <v>4.8</v>
      </c>
      <c r="M17" s="42">
        <v>3.55</v>
      </c>
      <c r="N17" s="42">
        <f>5/20</f>
        <v>0.25</v>
      </c>
      <c r="O17" s="42">
        <v>4.7</v>
      </c>
      <c r="P17" s="41">
        <f>0.7*L17+0.2*M17+0.1*O17+N17</f>
        <v>4.79</v>
      </c>
      <c r="Q17" s="43">
        <v>1.5972222222222221E-2</v>
      </c>
      <c r="R17" s="44">
        <f>Q17/$R$2</f>
        <v>0.76666666666666661</v>
      </c>
      <c r="S17" s="45">
        <v>2.0833333333333332E-2</v>
      </c>
      <c r="T17" s="44">
        <f>S17/$T$2</f>
        <v>1</v>
      </c>
      <c r="U17" s="44">
        <v>1</v>
      </c>
      <c r="V17" s="46">
        <v>1</v>
      </c>
      <c r="W17" s="52">
        <f>AVERAGE(R17,T17,V17)*5</f>
        <v>4.6111111111111107</v>
      </c>
      <c r="X17" s="47"/>
      <c r="Y17" s="47">
        <v>5</v>
      </c>
      <c r="Z17" s="47"/>
      <c r="AA17" s="47">
        <v>2</v>
      </c>
      <c r="AB17" s="47">
        <v>3</v>
      </c>
      <c r="AC17" s="47">
        <f>AVERAGE(X17:AB17)</f>
        <v>3.3333333333333335</v>
      </c>
      <c r="AD17" s="41">
        <v>5</v>
      </c>
      <c r="AE17" s="41">
        <v>5</v>
      </c>
      <c r="AF17" s="41">
        <v>5</v>
      </c>
      <c r="AG17" s="51">
        <f>0.2*AF17+0.8*AVERAGE(AC17:AE17)</f>
        <v>4.5555555555555554</v>
      </c>
      <c r="AH17" s="41">
        <v>4.8</v>
      </c>
      <c r="AI17" s="41">
        <v>4.8</v>
      </c>
      <c r="AJ17" s="41">
        <v>4.5</v>
      </c>
      <c r="AK17" s="41">
        <v>5</v>
      </c>
      <c r="AL17" s="41">
        <v>4.5</v>
      </c>
      <c r="AM17" s="51">
        <f>AVERAGE(AH17:AL17)</f>
        <v>4.7200000000000006</v>
      </c>
      <c r="AN17" s="51">
        <v>4.5</v>
      </c>
      <c r="AO17" s="41">
        <f>0.3*AN17+0.6*AM17+0.05*AG17+0.05*W17</f>
        <v>4.6403333333333334</v>
      </c>
      <c r="AP17" s="45">
        <v>2.3032407407407408E-2</v>
      </c>
      <c r="AQ17" s="58">
        <f>AP17/0.0230324074074074</f>
        <v>1.0000000000000002</v>
      </c>
      <c r="AR17" s="45">
        <v>1.1574074074074073E-5</v>
      </c>
      <c r="AS17" s="58">
        <f>AR17/0.0230324074074074</f>
        <v>5.0251256281407051E-4</v>
      </c>
      <c r="AT17" s="45">
        <v>1.5300925925925926E-2</v>
      </c>
      <c r="AU17" s="58">
        <f>AT17/0.0162615740740741</f>
        <v>0.9409252669039132</v>
      </c>
      <c r="AV17" s="45">
        <v>1.0231481481481482E-2</v>
      </c>
      <c r="AW17" s="58">
        <f>AV17/0.0102314814814815</f>
        <v>0.99999999999999833</v>
      </c>
      <c r="AX17" s="42">
        <f>AVERAGE(AQ17,AS17,AU17,AW17)*5</f>
        <v>3.6767847243334071</v>
      </c>
      <c r="AY17" s="56"/>
    </row>
    <row r="18" spans="1:51">
      <c r="A18" s="3">
        <v>1219713263</v>
      </c>
      <c r="B18" s="2" t="s">
        <v>46</v>
      </c>
      <c r="C18" s="2" t="s">
        <v>47</v>
      </c>
      <c r="D18" s="18" t="s">
        <v>14</v>
      </c>
      <c r="E18" s="3">
        <v>3</v>
      </c>
      <c r="F18" s="2" t="s">
        <v>74</v>
      </c>
      <c r="G18" s="3">
        <v>2</v>
      </c>
      <c r="H18" s="3" t="str" cm="1">
        <f t="array" ref="H18">_xlfn.IFS(G18=1, "2:00 PM", G18=2, "2:30 PM", G18=3, "3:00 PM", G18=4, "3:30 PM")</f>
        <v>2:30 PM</v>
      </c>
      <c r="I18" s="14">
        <v>6</v>
      </c>
      <c r="J18" s="3">
        <v>6</v>
      </c>
      <c r="K18" s="5">
        <v>4.9000000000000004</v>
      </c>
      <c r="L18" s="5">
        <f>(J18/I18)*K18</f>
        <v>4.9000000000000004</v>
      </c>
      <c r="M18" s="12">
        <v>2.76</v>
      </c>
      <c r="N18" s="12"/>
      <c r="O18" s="12">
        <v>3</v>
      </c>
      <c r="P18" s="5">
        <f>0.7*L18+0.2*M18+0.1*O18+N18</f>
        <v>4.282</v>
      </c>
      <c r="Q18" s="31">
        <v>0</v>
      </c>
      <c r="R18" s="32">
        <f>Q18/$R$2</f>
        <v>0</v>
      </c>
      <c r="S18" s="33">
        <v>2.0833333333333332E-2</v>
      </c>
      <c r="T18" s="32">
        <f>S18/$T$2</f>
        <v>1</v>
      </c>
      <c r="U18" s="32">
        <v>1</v>
      </c>
      <c r="V18" s="34">
        <v>0</v>
      </c>
      <c r="W18" s="12">
        <v>3</v>
      </c>
      <c r="X18" s="35">
        <v>2</v>
      </c>
      <c r="Y18" s="35">
        <v>1</v>
      </c>
      <c r="Z18" s="35"/>
      <c r="AA18" s="35">
        <v>3</v>
      </c>
      <c r="AB18" s="35"/>
      <c r="AC18" s="35">
        <f>AVERAGE(X18:AB18)</f>
        <v>2</v>
      </c>
      <c r="AD18" s="5">
        <v>4</v>
      </c>
      <c r="AE18" s="5">
        <v>4</v>
      </c>
      <c r="AF18" s="5">
        <v>4.5384615384615383</v>
      </c>
      <c r="AG18" s="5">
        <f>0.2*AF18+0.8*AVERAGE(AC18:AE18)</f>
        <v>3.5743589743589745</v>
      </c>
      <c r="AH18" s="5">
        <v>4</v>
      </c>
      <c r="AI18" s="5">
        <v>4.7</v>
      </c>
      <c r="AJ18" s="5">
        <v>4.5</v>
      </c>
      <c r="AK18" s="5">
        <v>4</v>
      </c>
      <c r="AL18" s="5">
        <v>4.3</v>
      </c>
      <c r="AM18" s="5">
        <f>AVERAGE(AH18:AL18)</f>
        <v>4.3</v>
      </c>
      <c r="AN18" s="5">
        <v>0</v>
      </c>
      <c r="AO18" s="5">
        <v>3</v>
      </c>
      <c r="AP18" s="59">
        <v>2.2037037037037036E-2</v>
      </c>
      <c r="AQ18" s="60">
        <f>AP18/0.0221875</f>
        <v>0.99321857068335939</v>
      </c>
      <c r="AR18" s="59">
        <v>1.8113425925925925E-2</v>
      </c>
      <c r="AS18" s="60">
        <f>AR18/0.0181481481481481</f>
        <v>0.9980867346938801</v>
      </c>
      <c r="AT18" s="59">
        <v>2.824074074074074E-2</v>
      </c>
      <c r="AU18" s="60">
        <f>AT18/0.0282407407407407</f>
        <v>1.0000000000000013</v>
      </c>
      <c r="AV18" s="59">
        <v>1.6574074074074074E-2</v>
      </c>
      <c r="AW18" s="60">
        <f>AV18/0.0189351851851852</f>
        <v>0.8753056234718819</v>
      </c>
      <c r="AX18" s="61">
        <f>AVERAGE(AQ18,AS18,AU18,AW18)*5</f>
        <v>4.8332636610614035</v>
      </c>
      <c r="AY18" s="56"/>
    </row>
    <row r="19" spans="1:51" s="48" customFormat="1">
      <c r="A19" s="37">
        <v>1193578885</v>
      </c>
      <c r="B19" s="38" t="s">
        <v>48</v>
      </c>
      <c r="C19" s="38" t="s">
        <v>49</v>
      </c>
      <c r="D19" s="39" t="s">
        <v>15</v>
      </c>
      <c r="E19" s="37">
        <v>4</v>
      </c>
      <c r="F19" s="38" t="s">
        <v>64</v>
      </c>
      <c r="G19" s="37">
        <v>3</v>
      </c>
      <c r="H19" s="37" t="str" cm="1">
        <f t="array" ref="H19">_xlfn.IFS(G19=1, "2:00 PM", G19=2, "2:30 PM", G19=3, "3:00 PM", G19=4, "3:30 PM")</f>
        <v>3:00 PM</v>
      </c>
      <c r="I19" s="40">
        <v>4</v>
      </c>
      <c r="J19" s="37">
        <v>4</v>
      </c>
      <c r="K19" s="41">
        <v>4.5999999999999996</v>
      </c>
      <c r="L19" s="41">
        <f>(J19/I19)*K19</f>
        <v>4.5999999999999996</v>
      </c>
      <c r="M19" s="42">
        <v>2.96</v>
      </c>
      <c r="N19" s="42"/>
      <c r="O19" s="42">
        <v>3.5</v>
      </c>
      <c r="P19" s="41">
        <f>0.7*L19+0.2*M19+0.1*O19+N19</f>
        <v>4.1619999999999999</v>
      </c>
      <c r="Q19" s="43">
        <v>1.951388888888889E-2</v>
      </c>
      <c r="R19" s="44">
        <f>Q19/$R$2</f>
        <v>0.93666666666666676</v>
      </c>
      <c r="S19" s="45">
        <v>0</v>
      </c>
      <c r="T19" s="44">
        <f>S19/$T$2</f>
        <v>0</v>
      </c>
      <c r="U19" s="44">
        <v>1</v>
      </c>
      <c r="V19" s="46">
        <v>1</v>
      </c>
      <c r="W19" s="52">
        <f>AVERAGE(R19,T19,V19)*5</f>
        <v>3.2277777777777779</v>
      </c>
      <c r="X19" s="47"/>
      <c r="Y19" s="47"/>
      <c r="Z19" s="47"/>
      <c r="AA19" s="47"/>
      <c r="AB19" s="47"/>
      <c r="AC19" s="47">
        <v>0</v>
      </c>
      <c r="AD19" s="41"/>
      <c r="AE19" s="41"/>
      <c r="AF19" s="41">
        <v>2.3333333333333335</v>
      </c>
      <c r="AG19" s="51">
        <f>0.2*AF19+0.8*AVERAGE(AC19:AE19)</f>
        <v>0.46666666666666673</v>
      </c>
      <c r="AH19" s="41">
        <v>4.8</v>
      </c>
      <c r="AI19" s="41">
        <v>4.5</v>
      </c>
      <c r="AJ19" s="41">
        <v>4.5</v>
      </c>
      <c r="AK19" s="41">
        <v>3.5</v>
      </c>
      <c r="AL19" s="41">
        <v>3</v>
      </c>
      <c r="AM19" s="51">
        <f>AVERAGE(AH19:AL19)</f>
        <v>4.0600000000000005</v>
      </c>
      <c r="AN19" s="51">
        <v>4</v>
      </c>
      <c r="AO19" s="36">
        <f>0.3*AN19+0.7*AM19</f>
        <v>4.0419999999999998</v>
      </c>
      <c r="AP19" s="45">
        <v>2.3252314814814816E-2</v>
      </c>
      <c r="AQ19" s="58">
        <f>AP19/0.0252083333333333</f>
        <v>0.92240587695133269</v>
      </c>
      <c r="AR19" s="45">
        <v>2.101851851851852E-2</v>
      </c>
      <c r="AS19" s="58">
        <f>AR19/0.0236226851851852</f>
        <v>0.88975992160705475</v>
      </c>
      <c r="AT19" s="45">
        <v>8.2060185185185187E-3</v>
      </c>
      <c r="AU19" s="58">
        <f>AT19/0.0277314814814815</f>
        <v>0.29590984974958245</v>
      </c>
      <c r="AV19" s="45">
        <v>8.1597222222222227E-3</v>
      </c>
      <c r="AW19" s="58">
        <f>AV19/0.0115277777777778</f>
        <v>0.70783132530120352</v>
      </c>
      <c r="AX19" s="42">
        <f>AVERAGE(AQ19,AS19,AU19,AW19)*5</f>
        <v>3.5198837170114667</v>
      </c>
      <c r="AY19" s="56"/>
    </row>
    <row r="20" spans="1:51">
      <c r="A20" s="3">
        <v>1025642375</v>
      </c>
      <c r="B20" s="2" t="s">
        <v>50</v>
      </c>
      <c r="C20" s="2" t="s">
        <v>51</v>
      </c>
      <c r="D20" s="18" t="s">
        <v>16</v>
      </c>
      <c r="E20" s="3">
        <v>4</v>
      </c>
      <c r="F20" s="2" t="s">
        <v>62</v>
      </c>
      <c r="G20" s="3">
        <v>3</v>
      </c>
      <c r="H20" s="3" t="str" cm="1">
        <f t="array" ref="H20">_xlfn.IFS(G20=1, "2:00 PM", G20=2, "2:30 PM", G20=3, "3:00 PM", G20=4, "3:30 PM")</f>
        <v>3:00 PM</v>
      </c>
      <c r="I20" s="14">
        <v>5</v>
      </c>
      <c r="J20" s="3">
        <v>5</v>
      </c>
      <c r="K20" s="3">
        <v>4.7</v>
      </c>
      <c r="L20" s="5">
        <f>(J20/I20)*K20</f>
        <v>4.7</v>
      </c>
      <c r="M20" s="12">
        <v>2.96</v>
      </c>
      <c r="N20" s="12"/>
      <c r="O20" s="12">
        <v>3.5</v>
      </c>
      <c r="P20" s="5">
        <f>0.7*L20+0.2*M20+0.1*O20+N20</f>
        <v>4.2320000000000002</v>
      </c>
      <c r="Q20" s="31">
        <v>2.0243055555555556E-2</v>
      </c>
      <c r="R20" s="32">
        <f>Q20/$R$2</f>
        <v>0.97166666666666668</v>
      </c>
      <c r="S20" s="33">
        <v>2.0833333333333332E-2</v>
      </c>
      <c r="T20" s="32">
        <f>S20/$T$2</f>
        <v>1</v>
      </c>
      <c r="U20" s="32">
        <v>1</v>
      </c>
      <c r="V20" s="34">
        <v>1</v>
      </c>
      <c r="W20" s="12">
        <f>AVERAGE(R20,T20,V20)*5</f>
        <v>4.9527777777777775</v>
      </c>
      <c r="X20" s="35"/>
      <c r="Y20" s="35"/>
      <c r="Z20" s="35"/>
      <c r="AA20" s="35"/>
      <c r="AB20" s="35"/>
      <c r="AC20" s="35">
        <v>0</v>
      </c>
      <c r="AD20" s="5"/>
      <c r="AE20" s="5"/>
      <c r="AF20" s="5">
        <v>2.3333333333333335</v>
      </c>
      <c r="AG20" s="5">
        <f>0.2*AF20+0.8*AVERAGE(AC20:AE20)</f>
        <v>0.46666666666666673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>AVERAGE(AH20:AL20)</f>
        <v>4.0600000000000005</v>
      </c>
      <c r="AN20" s="5">
        <v>4</v>
      </c>
      <c r="AO20" s="36">
        <f>0.3*AN20+0.7*AM20</f>
        <v>4.0419999999999998</v>
      </c>
      <c r="AP20" s="33">
        <v>2.255787037037037E-2</v>
      </c>
      <c r="AQ20" s="57">
        <f>AP20/0.0252083333333333</f>
        <v>0.89485766758494145</v>
      </c>
      <c r="AR20" s="33">
        <v>2.3622685185185184E-2</v>
      </c>
      <c r="AS20" s="57">
        <f>AR20/0.0236226851851852</f>
        <v>0.99999999999999922</v>
      </c>
      <c r="AT20" s="33">
        <v>2.7731481481481482E-2</v>
      </c>
      <c r="AU20" s="57">
        <f>AT20/0.0277314814814815</f>
        <v>0.99999999999999933</v>
      </c>
      <c r="AV20" s="33">
        <v>1.0046296296296296E-2</v>
      </c>
      <c r="AW20" s="57">
        <f>AV20/0.0115277777777778</f>
        <v>0.87148594377509869</v>
      </c>
      <c r="AX20" s="12">
        <f>AVERAGE(AQ20,AS20,AU20,AW20)*5</f>
        <v>4.7079295142000488</v>
      </c>
      <c r="AY20" s="56"/>
    </row>
    <row r="21" spans="1:51" s="48" customFormat="1">
      <c r="A21" s="37">
        <v>1110363454</v>
      </c>
      <c r="B21" s="38" t="s">
        <v>52</v>
      </c>
      <c r="C21" s="38" t="s">
        <v>21</v>
      </c>
      <c r="D21" s="39" t="s">
        <v>17</v>
      </c>
      <c r="E21" s="37">
        <v>3</v>
      </c>
      <c r="F21" s="38" t="s">
        <v>72</v>
      </c>
      <c r="G21" s="37">
        <v>2</v>
      </c>
      <c r="H21" s="37" t="str" cm="1">
        <f t="array" ref="H21">_xlfn.IFS(G21=1, "2:00 PM", G21=2, "2:30 PM", G21=3, "3:00 PM", G21=4, "3:30 PM")</f>
        <v>2:30 PM</v>
      </c>
      <c r="I21" s="40">
        <v>6</v>
      </c>
      <c r="J21" s="37">
        <v>6</v>
      </c>
      <c r="K21" s="41">
        <v>4.8</v>
      </c>
      <c r="L21" s="41">
        <f>(J21/I21)*K21</f>
        <v>4.8</v>
      </c>
      <c r="M21" s="42">
        <v>2.76</v>
      </c>
      <c r="N21" s="42">
        <f>1/13</f>
        <v>7.6923076923076927E-2</v>
      </c>
      <c r="O21" s="42">
        <v>3</v>
      </c>
      <c r="P21" s="41">
        <f>0.7*L21+0.2*M21+0.1*O21+N21</f>
        <v>4.2889230769230764</v>
      </c>
      <c r="Q21" s="43">
        <v>1.1863425925925927E-2</v>
      </c>
      <c r="R21" s="44">
        <f>Q21/$R$2</f>
        <v>0.56944444444444453</v>
      </c>
      <c r="S21" s="45">
        <v>2.0833333333333332E-2</v>
      </c>
      <c r="T21" s="44">
        <f>S21/$T$2</f>
        <v>1</v>
      </c>
      <c r="U21" s="44">
        <v>1</v>
      </c>
      <c r="V21" s="46">
        <v>1</v>
      </c>
      <c r="W21" s="52">
        <f>AVERAGE(R21,T21,V21)*5</f>
        <v>4.2824074074074074</v>
      </c>
      <c r="X21" s="47">
        <v>5</v>
      </c>
      <c r="Y21" s="47">
        <v>3</v>
      </c>
      <c r="Z21" s="47"/>
      <c r="AA21" s="47">
        <v>5</v>
      </c>
      <c r="AB21" s="47"/>
      <c r="AC21" s="47">
        <f>AVERAGE(X21:AB21)</f>
        <v>4.333333333333333</v>
      </c>
      <c r="AD21" s="41">
        <v>4</v>
      </c>
      <c r="AE21" s="41">
        <v>4</v>
      </c>
      <c r="AF21" s="41">
        <v>4.6923076923076925</v>
      </c>
      <c r="AG21" s="51">
        <f>0.2*AF21+0.8*AVERAGE(AC21:AE21)</f>
        <v>4.2273504273504274</v>
      </c>
      <c r="AH21" s="41">
        <v>4</v>
      </c>
      <c r="AI21" s="41">
        <v>4.7</v>
      </c>
      <c r="AJ21" s="41">
        <v>4.5</v>
      </c>
      <c r="AK21" s="41">
        <v>4</v>
      </c>
      <c r="AL21" s="41">
        <v>4.3</v>
      </c>
      <c r="AM21" s="51">
        <f>AVERAGE(AH21:AL21)</f>
        <v>4.3</v>
      </c>
      <c r="AN21" s="51">
        <v>0</v>
      </c>
      <c r="AO21" s="41">
        <f>0.3*AN21+0.6*AM21+0.05*AG21+0.05*W21</f>
        <v>3.0054878917378911</v>
      </c>
      <c r="AP21" s="45">
        <v>1.7175925925925924E-2</v>
      </c>
      <c r="AQ21" s="58">
        <f>AP21/0.0221875</f>
        <v>0.77412623891497123</v>
      </c>
      <c r="AR21" s="45">
        <v>0</v>
      </c>
      <c r="AS21" s="58">
        <f>AR21/0.0181481481481481</f>
        <v>0</v>
      </c>
      <c r="AT21" s="45">
        <v>4.3287037037037035E-3</v>
      </c>
      <c r="AU21" s="58">
        <f>AT21/0.0282407407407407</f>
        <v>0.15327868852459037</v>
      </c>
      <c r="AV21" s="45">
        <v>9.2592592592592588E-5</v>
      </c>
      <c r="AW21" s="58">
        <f>AV21/0.0189351851851852</f>
        <v>4.889975550122245E-3</v>
      </c>
      <c r="AX21" s="42">
        <f>AVERAGE(AQ21,AS21,AU21,AW21)*5</f>
        <v>1.1653686287371048</v>
      </c>
      <c r="AY21" s="56"/>
    </row>
    <row r="22" spans="1:51">
      <c r="A22" s="3">
        <v>1109662163</v>
      </c>
      <c r="B22" s="2" t="s">
        <v>53</v>
      </c>
      <c r="C22" s="2" t="s">
        <v>54</v>
      </c>
      <c r="D22" s="18" t="s">
        <v>18</v>
      </c>
      <c r="E22" s="3">
        <v>2</v>
      </c>
      <c r="F22" s="4" t="s">
        <v>69</v>
      </c>
      <c r="G22" s="3">
        <v>1</v>
      </c>
      <c r="H22" s="3" t="str" cm="1">
        <f t="array" ref="H22">_xlfn.IFS(G22=1, "2:00 PM", G22=2, "2:30 PM", G22=3, "3:00 PM", G22=4, "3:30 PM")</f>
        <v>2:00 PM</v>
      </c>
      <c r="I22" s="14">
        <v>7</v>
      </c>
      <c r="J22" s="3">
        <v>7</v>
      </c>
      <c r="K22" s="5">
        <v>4.8</v>
      </c>
      <c r="L22" s="5">
        <f>(J22/I22)*K22</f>
        <v>4.8</v>
      </c>
      <c r="M22" s="12">
        <v>3.55</v>
      </c>
      <c r="N22" s="12">
        <f>1/20</f>
        <v>0.05</v>
      </c>
      <c r="O22" s="12">
        <v>4.7</v>
      </c>
      <c r="P22" s="5">
        <f>0.7*L22+0.2*M22+0.1*O22+N22</f>
        <v>4.59</v>
      </c>
      <c r="Q22" s="31">
        <v>1.4652777777777778E-2</v>
      </c>
      <c r="R22" s="32">
        <f>Q22/$R$2</f>
        <v>0.70333333333333337</v>
      </c>
      <c r="S22" s="45">
        <v>2.0833333333333332E-2</v>
      </c>
      <c r="T22" s="32">
        <f>S22/$T$2</f>
        <v>1</v>
      </c>
      <c r="U22" s="32">
        <v>1</v>
      </c>
      <c r="V22" s="34">
        <v>1</v>
      </c>
      <c r="W22" s="12">
        <f>AVERAGE(R22,T22,V22)*5</f>
        <v>4.5055555555555555</v>
      </c>
      <c r="X22" s="35">
        <v>3</v>
      </c>
      <c r="Y22" s="35"/>
      <c r="Z22" s="35">
        <v>5</v>
      </c>
      <c r="AA22" s="35"/>
      <c r="AB22" s="35"/>
      <c r="AC22" s="35">
        <f>AVERAGE(X22:AB22)</f>
        <v>4</v>
      </c>
      <c r="AD22" s="5">
        <v>4.5</v>
      </c>
      <c r="AE22" s="5">
        <v>5</v>
      </c>
      <c r="AF22" s="5">
        <v>5</v>
      </c>
      <c r="AG22" s="5">
        <f>0.2*AF22+0.8*AVERAGE(AC22:AE22)</f>
        <v>4.5999999999999996</v>
      </c>
      <c r="AH22" s="5">
        <v>4.8</v>
      </c>
      <c r="AI22" s="5">
        <v>4.8</v>
      </c>
      <c r="AJ22" s="5">
        <v>4.5</v>
      </c>
      <c r="AK22" s="5">
        <v>5</v>
      </c>
      <c r="AL22" s="5">
        <v>4.5</v>
      </c>
      <c r="AM22" s="5">
        <f>AVERAGE(AH22:AL22)</f>
        <v>4.7200000000000006</v>
      </c>
      <c r="AN22" s="5">
        <v>4.5</v>
      </c>
      <c r="AO22" s="5">
        <f>0.3*AN22+0.6*AM22+0.05*AG22+0.05*W22</f>
        <v>4.6372777777777783</v>
      </c>
      <c r="AP22" s="33">
        <v>2.2974537037037036E-2</v>
      </c>
      <c r="AQ22" s="57">
        <f>AP22/0.0230324074074074</f>
        <v>0.99748743718592991</v>
      </c>
      <c r="AR22" s="33">
        <v>1.8726851851851852E-2</v>
      </c>
      <c r="AS22" s="57">
        <f>AR22/0.0230324074074074</f>
        <v>0.81306532663316611</v>
      </c>
      <c r="AT22" s="33">
        <v>1.6168981481481482E-2</v>
      </c>
      <c r="AU22" s="57">
        <f>AT22/0.0162615740740741</f>
        <v>0.99430604982206261</v>
      </c>
      <c r="AV22" s="33">
        <v>9.9652777777777778E-3</v>
      </c>
      <c r="AW22" s="57">
        <f>AV22/0.0102314814814815</f>
        <v>0.973981900452487</v>
      </c>
      <c r="AX22" s="12">
        <f>AVERAGE(AQ22,AS22,AU22,AW22)*5</f>
        <v>4.7235508926170571</v>
      </c>
      <c r="AY22" s="56"/>
    </row>
    <row r="23" spans="1:51" s="48" customFormat="1">
      <c r="A23" s="37">
        <v>1126644560</v>
      </c>
      <c r="B23" s="38" t="s">
        <v>55</v>
      </c>
      <c r="C23" s="38" t="s">
        <v>56</v>
      </c>
      <c r="D23" s="39" t="s">
        <v>19</v>
      </c>
      <c r="E23" s="37">
        <v>1</v>
      </c>
      <c r="F23" s="38" t="s">
        <v>65</v>
      </c>
      <c r="G23" s="37">
        <v>4</v>
      </c>
      <c r="H23" s="37" t="str" cm="1">
        <f t="array" ref="H23">_xlfn.IFS(G23=1, "2:00 PM", G23=2, "2:30 PM", G23=3, "3:00 PM", G23=4, "3:30 PM")</f>
        <v>3:30 PM</v>
      </c>
      <c r="I23" s="40">
        <v>4</v>
      </c>
      <c r="J23" s="37">
        <v>4</v>
      </c>
      <c r="K23" s="37">
        <v>4.8</v>
      </c>
      <c r="L23" s="41">
        <f>(J23/I23)*K23</f>
        <v>4.8</v>
      </c>
      <c r="M23" s="42">
        <v>3.59</v>
      </c>
      <c r="N23" s="42"/>
      <c r="O23" s="42">
        <v>4.5</v>
      </c>
      <c r="P23" s="41">
        <f>0.7*L23+0.2*M23+0.1*O23+N23</f>
        <v>4.5279999999999996</v>
      </c>
      <c r="Q23" s="43">
        <v>1.6342592592592593E-2</v>
      </c>
      <c r="R23" s="44">
        <f>Q23/$R$2</f>
        <v>0.7844444444444445</v>
      </c>
      <c r="S23" s="45">
        <v>2.0833333333333332E-2</v>
      </c>
      <c r="T23" s="44">
        <f>S23/$T$2</f>
        <v>1</v>
      </c>
      <c r="U23" s="44">
        <v>1</v>
      </c>
      <c r="V23" s="46">
        <v>1</v>
      </c>
      <c r="W23" s="52">
        <f>AVERAGE(R23,T23,V23)*5</f>
        <v>4.6407407407407408</v>
      </c>
      <c r="X23" s="47"/>
      <c r="Y23" s="47">
        <v>4</v>
      </c>
      <c r="Z23" s="47">
        <v>0</v>
      </c>
      <c r="AA23" s="47"/>
      <c r="AB23" s="47"/>
      <c r="AC23" s="47">
        <f>AVERAGE(X23:AB23)</f>
        <v>2</v>
      </c>
      <c r="AD23" s="41">
        <v>4.5</v>
      </c>
      <c r="AE23" s="41">
        <v>4</v>
      </c>
      <c r="AF23" s="41">
        <v>5</v>
      </c>
      <c r="AG23" s="51">
        <f>0.2*AF23+0.8*AVERAGE(AC23:AE23)</f>
        <v>3.8000000000000003</v>
      </c>
      <c r="AH23" s="41">
        <v>4.3</v>
      </c>
      <c r="AI23" s="41">
        <v>4</v>
      </c>
      <c r="AJ23" s="41">
        <v>4.5</v>
      </c>
      <c r="AK23" s="41">
        <v>4.8</v>
      </c>
      <c r="AL23" s="41">
        <v>4.5</v>
      </c>
      <c r="AM23" s="51">
        <f>AVERAGE(AH23:AL23)</f>
        <v>4.42</v>
      </c>
      <c r="AN23" s="51">
        <v>4</v>
      </c>
      <c r="AO23" s="41">
        <f>0.3*AN23+0.6*AM23+0.05*AG23+0.05*W23</f>
        <v>4.2740370370370364</v>
      </c>
      <c r="AP23" s="45">
        <v>1.6087962962962964E-2</v>
      </c>
      <c r="AQ23" s="58">
        <f>AP23/0.0170138888888889</f>
        <v>0.94557823129251639</v>
      </c>
      <c r="AR23" s="45">
        <v>1.3020833333333334E-2</v>
      </c>
      <c r="AS23" s="58">
        <f>AR23/0.0163310185185185</f>
        <v>0.79730687455705263</v>
      </c>
      <c r="AT23" s="45">
        <v>3.2824074074074075E-2</v>
      </c>
      <c r="AU23" s="58">
        <f>AT23/0.0328240740740741</f>
        <v>0.99999999999999911</v>
      </c>
      <c r="AV23" s="45">
        <v>0</v>
      </c>
      <c r="AW23" s="58">
        <v>0.6</v>
      </c>
      <c r="AX23" s="42">
        <f>AVERAGE(AQ23,AS23,AU23,AW23)*5</f>
        <v>4.1786063823119601</v>
      </c>
      <c r="AY23"/>
    </row>
    <row r="24" spans="1:51">
      <c r="G24" s="30"/>
      <c r="AO24" s="13"/>
    </row>
    <row r="25" spans="1:51">
      <c r="G25" s="3"/>
      <c r="Q25" s="54" t="s">
        <v>147</v>
      </c>
      <c r="R25" s="55"/>
      <c r="S25" s="53"/>
      <c r="T25" s="53"/>
      <c r="AY25" s="56"/>
    </row>
    <row r="26" spans="1:51">
      <c r="G26" s="3"/>
    </row>
    <row r="27" spans="1:51">
      <c r="G27" s="3"/>
    </row>
  </sheetData>
  <autoFilter ref="A3:AY23" xr:uid="{00000000-0001-0000-0000-000000000000}">
    <filterColumn colId="3">
      <customFilters>
        <customFilter operator="notEqual" val=" "/>
      </customFilters>
    </filterColumn>
    <sortState xmlns:xlrd2="http://schemas.microsoft.com/office/spreadsheetml/2017/richdata2" ref="A4:AY23">
      <sortCondition ref="B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ignoredErrors>
    <ignoredError sqref="AQ5:AW1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 ht="30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2025-11-14T23:45:52Z</dcterms:modified>
</cp:coreProperties>
</file>